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ts" sheetId="1" state="visible" r:id="rId1"/>
    <sheet xmlns:r="http://schemas.openxmlformats.org/officeDocument/2006/relationships" name="Notes" sheetId="2" state="visible" r:id="rId2"/>
    <sheet xmlns:r="http://schemas.openxmlformats.org/officeDocument/2006/relationships" name="manifest" sheetId="3" state="visible" r:id="rId3"/>
    <sheet xmlns:r="http://schemas.openxmlformats.org/officeDocument/2006/relationships" name="frame_units" sheetId="4" state="visible" r:id="rId4"/>
    <sheet xmlns:r="http://schemas.openxmlformats.org/officeDocument/2006/relationships" name="frame_summary" sheetId="5" state="visible" r:id="rId5"/>
    <sheet xmlns:r="http://schemas.openxmlformats.org/officeDocument/2006/relationships" name="boundaries" sheetId="6" state="visible" r:id="rId6"/>
    <sheet xmlns:r="http://schemas.openxmlformats.org/officeDocument/2006/relationships" name="listing_areas" sheetId="7" state="visible" r:id="rId7"/>
    <sheet xmlns:r="http://schemas.openxmlformats.org/officeDocument/2006/relationships" name="listing_checks" sheetId="8" state="visible" r:id="rId8"/>
    <sheet xmlns:r="http://schemas.openxmlformats.org/officeDocument/2006/relationships" name="size" sheetId="9" state="visible" r:id="rId9"/>
    <sheet xmlns:r="http://schemas.openxmlformats.org/officeDocument/2006/relationships" name="allocation" sheetId="10" state="visible" r:id="rId10"/>
    <sheet xmlns:r="http://schemas.openxmlformats.org/officeDocument/2006/relationships" name="selection" sheetId="11" state="visible" r:id="rId11"/>
    <sheet xmlns:r="http://schemas.openxmlformats.org/officeDocument/2006/relationships" name="draw_summary" sheetId="12" state="visible" r:id="rId12"/>
    <sheet xmlns:r="http://schemas.openxmlformats.org/officeDocument/2006/relationships" name="weight_stages" sheetId="13" state="visible" r:id="rId13"/>
    <sheet xmlns:r="http://schemas.openxmlformats.org/officeDocument/2006/relationships" name="weight_groups" sheetId="14" state="visible" r:id="rId14"/>
    <sheet xmlns:r="http://schemas.openxmlformats.org/officeDocument/2006/relationships" name="response_classes" sheetId="15" state="visible" r:id="rId15"/>
    <sheet xmlns:r="http://schemas.openxmlformats.org/officeDocument/2006/relationships" name="calibration_fit" sheetId="16" state="visible" r:id="rId16"/>
    <sheet xmlns:r="http://schemas.openxmlformats.org/officeDocument/2006/relationships" name="weight_units" sheetId="17" state="visible" r:id="rId17"/>
    <sheet xmlns:r="http://schemas.openxmlformats.org/officeDocument/2006/relationships" name="flag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0"/>
    <numFmt numFmtId="165" formatCode="0.000"/>
    <numFmt numFmtId="166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EEF4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 of the weights by stage (weight_stages.csv)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'Weights'!O58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'Weights'!$A$59:$A$70</f>
            </numRef>
          </cat>
          <val>
            <numRef>
              <f>'Weights'!$O$59:$O$70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CV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Kish's 1+CV2 by stage (weight_stages.csv)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'Weights'!P58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'Weights'!$A$59:$A$70</f>
            </numRef>
          </cat>
          <val>
            <numRef>
              <f>'Weights'!$P$59:$P$70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Response rate by class (response_classes.csv)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'Weights'!E88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'Weights'!$B$89:$B$118</f>
            </numRef>
          </cat>
          <val>
            <numRef>
              <f>'Weights'!$E$89:$E$118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Adjustment factor by class (response_classes.csv)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'Weights'!F88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'Weights'!$B$89:$B$118</f>
            </numRef>
          </cat>
          <val>
            <numRef>
              <f>'Weights'!$F$89:$F$118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Target and achieved totals (calibration_fit.csv)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'Weights'!B121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'Weights'!$A$122:$A$151</f>
            </numRef>
          </cat>
          <val>
            <numRef>
              <f>'Weights'!$B$122:$B$151</f>
            </numRef>
          </val>
        </ser>
        <ser>
          <idx val="1"/>
          <order val="1"/>
          <tx>
            <strRef>
              <f>'Weights'!C121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'Weights'!$A$122:$A$151</f>
            </numRef>
          </cat>
          <val>
            <numRef>
              <f>'Weights'!$C$122:$C$151</f>
            </numRef>
          </val>
        </ser>
        <ser>
          <idx val="2"/>
          <order val="2"/>
          <tx>
            <strRef>
              <f>'Weights'!D121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'Weights'!$A$122:$A$151</f>
            </numRef>
          </cat>
          <val>
            <numRef>
              <f>'Weights'!$D$122:$D$151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71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71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87</row>
      <rowOff>0</rowOff>
    </from>
    <ext cx="57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102</row>
      <rowOff>0</rowOff>
    </from>
    <ext cx="57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120</row>
      <rowOff>0</rowOff>
    </from>
    <ext cx="57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Weights: what Stata exported for this run</t>
        </is>
      </c>
    </row>
    <row r="2">
      <c r="A2" s="2" t="inlineStr">
        <is>
          <t>Every number on this sheet is read from the manifest and the table sheets of the export; nothing is recalculated here (see Notes).</t>
        </is>
      </c>
    </row>
    <row r="4">
      <c r="A4" s="3" t="inlineStr">
        <is>
          <t>Run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</row>
    <row r="6">
      <c r="A6" t="inlineStr">
        <is>
          <t>Workflow</t>
        </is>
      </c>
      <c r="B6" s="4">
        <f>IFERROR(INDEX(manifest!$B:$B,MATCH("workflow",manifest!$A:$A,0)),"not in this export")</f>
        <v/>
      </c>
    </row>
    <row r="7">
      <c r="A7" t="inlineStr">
        <is>
          <t>Step</t>
        </is>
      </c>
      <c r="B7" s="4">
        <f>IFERROR(INDEX(manifest!$B:$B,MATCH("step",manifest!$A:$A,0)),"not in this export")</f>
        <v/>
      </c>
    </row>
    <row r="8">
      <c r="A8" t="inlineStr">
        <is>
          <t>Started</t>
        </is>
      </c>
      <c r="B8" s="4">
        <f>IFERROR(INDEX(manifest!$B:$B,MATCH("started",manifest!$A:$A,0)),"not in this export")</f>
        <v/>
      </c>
    </row>
    <row r="9">
      <c r="A9" t="inlineStr">
        <is>
          <t>Finished</t>
        </is>
      </c>
      <c r="B9" s="4">
        <f>IFERROR(INDEX(manifest!$B:$B,MATCH("finished",manifest!$A:$A,0)),"not in this export")</f>
        <v/>
      </c>
    </row>
    <row r="10">
      <c r="A10" t="inlineStr">
        <is>
          <t>Status</t>
        </is>
      </c>
      <c r="B10" s="4">
        <f>IFERROR(INDEX(manifest!$B:$B,MATCH("status",manifest!$A:$A,0)),"not in this export")</f>
        <v/>
      </c>
    </row>
    <row r="11">
      <c r="A11" t="inlineStr">
        <is>
          <t>Source (ado or do-file)</t>
        </is>
      </c>
      <c r="B11" s="4">
        <f>IFERROR(INDEX(manifest!$B:$B,MATCH("source",manifest!$A:$A,0)),"not in this export")</f>
        <v/>
      </c>
    </row>
    <row r="12">
      <c r="A12" t="inlineStr">
        <is>
          <t>Software</t>
        </is>
      </c>
      <c r="B12" s="4">
        <f>IFERROR(INDEX(manifest!$B:$B,MATCH("software",manifest!$A:$A,0)),"not in this export")</f>
        <v/>
      </c>
    </row>
    <row r="13">
      <c r="A13" t="inlineStr">
        <is>
          <t>Input file</t>
        </is>
      </c>
      <c r="B13" s="4">
        <f>IFERROR(INDEX(manifest!$B:$B,MATCH("input_file",manifest!$A:$A,0)),"not in this export")</f>
        <v/>
      </c>
    </row>
    <row r="14">
      <c r="A14" t="inlineStr">
        <is>
          <t>Input rows</t>
        </is>
      </c>
      <c r="B14" s="4">
        <f>IFERROR(INDEX(manifest!$B:$B,MATCH("input_rows",manifest!$A:$A,0)),"not in this export")</f>
        <v/>
      </c>
    </row>
    <row r="15">
      <c r="A15" t="inlineStr">
        <is>
          <t>Command</t>
        </is>
      </c>
      <c r="B15" s="4">
        <f>IFERROR(INDEX(manifest!$B:$B,MATCH("command",manifest!$A:$A,0)),"not in this export")</f>
        <v/>
      </c>
    </row>
    <row r="17">
      <c r="A17" s="3" t="inlineStr">
        <is>
          <t>Settings (as recorded by Stata, with the source of the default)</t>
        </is>
      </c>
    </row>
    <row r="18">
      <c r="A18" t="inlineStr">
        <is>
          <t>Method</t>
        </is>
      </c>
      <c r="B18" s="4">
        <f>IFERROR(INDEX(manifest!$B:$B,MATCH("setting_method",manifest!$A:$A,0)),"not in this export")</f>
        <v/>
      </c>
    </row>
    <row r="19">
      <c r="A19" t="inlineStr">
        <is>
          <t>Method source</t>
        </is>
      </c>
      <c r="B19" s="4">
        <f>IFERROR(INDEX(manifest!$B:$B,MATCH("source_method",manifest!$A:$A,0)),"not in this export")</f>
        <v/>
      </c>
    </row>
    <row r="20">
      <c r="A20" t="inlineStr">
        <is>
          <t>Covariates</t>
        </is>
      </c>
      <c r="B20" s="4">
        <f>IFERROR(INDEX(manifest!$B:$B,MATCH("setting_covariates",manifest!$A:$A,0)),"not in this export")</f>
        <v/>
      </c>
    </row>
    <row r="21">
      <c r="A21" t="inlineStr">
        <is>
          <t>Classes</t>
        </is>
      </c>
      <c r="B21" s="4">
        <f>IFERROR(INDEX(manifest!$B:$B,MATCH("setting_classes",manifest!$A:$A,0)),"not in this export")</f>
        <v/>
      </c>
    </row>
    <row r="22">
      <c r="A22" t="inlineStr">
        <is>
          <t>Cells</t>
        </is>
      </c>
      <c r="B22" s="4">
        <f>IFERROR(INDEX(manifest!$B:$B,MATCH("setting_cells",manifest!$A:$A,0)),"not in this export")</f>
        <v/>
      </c>
    </row>
    <row r="23">
      <c r="A23" t="inlineStr">
        <is>
          <t>Moments</t>
        </is>
      </c>
      <c r="B23" s="4">
        <f>IFERROR(INDEX(manifest!$B:$B,MATCH("setting_moments",manifest!$A:$A,0)),"not in this export")</f>
        <v/>
      </c>
    </row>
    <row r="24">
      <c r="A24" t="inlineStr">
        <is>
          <t>Propensity groups</t>
        </is>
      </c>
      <c r="B24" s="4">
        <f>IFERROR(INDEX(manifest!$B:$B,MATCH("setting_ngroups",manifest!$A:$A,0)),"not in this export")</f>
        <v/>
      </c>
    </row>
    <row r="25">
      <c r="A25" t="inlineStr">
        <is>
          <t>Trimming rule</t>
        </is>
      </c>
      <c r="B25" s="4">
        <f>IFERROR(INDEX(manifest!$B:$B,MATCH("setting_rule",manifest!$A:$A,0)),"not in this export")</f>
        <v/>
      </c>
    </row>
    <row r="26">
      <c r="A26" t="inlineStr">
        <is>
          <t>Trimming percentile</t>
        </is>
      </c>
      <c r="B26" s="4">
        <f>IFERROR(INDEX(manifest!$B:$B,MATCH("setting_pct",manifest!$A:$A,0)),"not in this export")</f>
        <v/>
      </c>
    </row>
    <row r="27">
      <c r="A27" t="inlineStr">
        <is>
          <t>Calibration engine</t>
        </is>
      </c>
      <c r="B27" s="4">
        <f>IFERROR(INDEX(manifest!$B:$B,MATCH("setting_engine",manifest!$A:$A,0)),"not in this export")</f>
        <v/>
      </c>
    </row>
    <row r="28">
      <c r="A28" t="inlineStr">
        <is>
          <t>Calibration variables</t>
        </is>
      </c>
      <c r="B28" s="4">
        <f>IFERROR(INDEX(manifest!$B:$B,MATCH("setting_calibration_variables",manifest!$A:$A,0)),"not in this export")</f>
        <v/>
      </c>
    </row>
    <row r="29">
      <c r="A29" t="inlineStr">
        <is>
          <t>Bounds</t>
        </is>
      </c>
      <c r="B29" s="4">
        <f>IFERROR(INDEX(manifest!$B:$B,MATCH("setting_bounds",manifest!$A:$A,0)),"not in this export")</f>
        <v/>
      </c>
    </row>
    <row r="30">
      <c r="A30" t="inlineStr">
        <is>
          <t>Input weight</t>
        </is>
      </c>
      <c r="B30" s="4">
        <f>IFERROR(INDEX(manifest!$B:$B,MATCH("setting_weight",manifest!$A:$A,0)),"not in this export")</f>
        <v/>
      </c>
    </row>
    <row r="31">
      <c r="A31" t="inlineStr">
        <is>
          <t>New weight</t>
        </is>
      </c>
      <c r="B31" s="4">
        <f>IFERROR(INDEX(manifest!$B:$B,MATCH("setting_generate",manifest!$A:$A,0)),"not in this export")</f>
        <v/>
      </c>
    </row>
    <row r="33">
      <c r="A33" s="3" t="inlineStr">
        <is>
          <t>Key numbers (r() results of the command)</t>
        </is>
      </c>
    </row>
    <row r="34">
      <c r="A34" t="inlineStr">
        <is>
          <t>Eligible sample</t>
        </is>
      </c>
      <c r="B34" s="5">
        <f>IFERROR(INDEX(manifest!$B:$B,MATCH("summary_N_sample",manifest!$A:$A,0)),"not in this export")</f>
        <v/>
      </c>
    </row>
    <row r="35">
      <c r="A35" t="inlineStr">
        <is>
          <t>Respondents</t>
        </is>
      </c>
      <c r="B35" s="5">
        <f>IFERROR(INDEX(manifest!$B:$B,MATCH("summary_N_resp",manifest!$A:$A,0)),"not in this export")</f>
        <v/>
      </c>
    </row>
    <row r="36">
      <c r="A36" t="inlineStr">
        <is>
          <t>Response rate, unweighted</t>
        </is>
      </c>
      <c r="B36" s="5">
        <f>IFERROR(INDEX(manifest!$B:$B,MATCH("summary_rr_unweighted",manifest!$A:$A,0)),"not in this export")</f>
        <v/>
      </c>
    </row>
    <row r="37">
      <c r="A37" t="inlineStr">
        <is>
          <t>Response rate, weighted</t>
        </is>
      </c>
      <c r="B37" s="5">
        <f>IFERROR(INDEX(manifest!$B:$B,MATCH("summary_rr_weighted",manifest!$A:$A,0)),"not in this export")</f>
        <v/>
      </c>
    </row>
    <row r="38">
      <c r="A38" t="inlineStr">
        <is>
          <t>Sum of base weights</t>
        </is>
      </c>
      <c r="B38" s="5">
        <f>IFERROR(INDEX(manifest!$B:$B,MATCH("summary_sum_base",manifest!$A:$A,0)),"not in this export")</f>
        <v/>
      </c>
    </row>
    <row r="39">
      <c r="A39" t="inlineStr">
        <is>
          <t>Sum of adjusted weights</t>
        </is>
      </c>
      <c r="B39" s="5">
        <f>IFERROR(INDEX(manifest!$B:$B,MATCH("summary_sum_adj",manifest!$A:$A,0)),"not in this export")</f>
        <v/>
      </c>
    </row>
    <row r="40">
      <c r="A40" t="inlineStr">
        <is>
          <t>Adjustment factor, min</t>
        </is>
      </c>
      <c r="B40" s="5">
        <f>IFERROR(INDEX(manifest!$B:$B,MATCH("summary_factor_min",manifest!$A:$A,0)),"not in this export")</f>
        <v/>
      </c>
    </row>
    <row r="41">
      <c r="A41" t="inlineStr">
        <is>
          <t>Adjustment factor, median</t>
        </is>
      </c>
      <c r="B41" s="5">
        <f>IFERROR(INDEX(manifest!$B:$B,MATCH("summary_factor_p50",manifest!$A:$A,0)),"not in this export")</f>
        <v/>
      </c>
    </row>
    <row r="42">
      <c r="A42" t="inlineStr">
        <is>
          <t>Adjustment factor, max</t>
        </is>
      </c>
      <c r="B42" s="5">
        <f>IFERROR(INDEX(manifest!$B:$B,MATCH("summary_factor_max",manifest!$A:$A,0)),"not in this export")</f>
        <v/>
      </c>
    </row>
    <row r="43">
      <c r="A43" t="inlineStr">
        <is>
          <t>Largest relative difference to the targets</t>
        </is>
      </c>
      <c r="B43" s="5">
        <f>IFERROR(INDEX(manifest!$B:$B,MATCH("summary_max_rel_diff",manifest!$A:$A,0)),"not in this export")</f>
        <v/>
      </c>
    </row>
    <row r="44">
      <c r="A44" t="inlineStr">
        <is>
          <t>ebalance cross-check, max relative difference</t>
        </is>
      </c>
      <c r="B44" s="5">
        <f>IFERROR(INDEX(manifest!$B:$B,MATCH("summary_ebalance_maxreldiff",manifest!$A:$A,0)),"not in this export")</f>
        <v/>
      </c>
    </row>
    <row r="45">
      <c r="A45" t="inlineStr">
        <is>
          <t>Weights lowered by trimming</t>
        </is>
      </c>
      <c r="B45" s="5">
        <f>IFERROR(INDEX(manifest!$B:$B,MATCH("summary_n_trimmed_high",manifest!$A:$A,0)),"not in this export")</f>
        <v/>
      </c>
    </row>
    <row r="46">
      <c r="A46" t="inlineStr">
        <is>
          <t>Weights raised by trimming</t>
        </is>
      </c>
      <c r="B46" s="5">
        <f>IFERROR(INDEX(manifest!$B:$B,MATCH("summary_n_trimmed_low",manifest!$A:$A,0)),"not in this export")</f>
        <v/>
      </c>
    </row>
    <row r="47">
      <c r="A47" t="inlineStr">
        <is>
          <t>Kish 1+CV2 before</t>
        </is>
      </c>
      <c r="B47" s="5">
        <f>IFERROR(INDEX(manifest!$B:$B,MATCH("summary_kish_before",manifest!$A:$A,0)),"not in this export")</f>
        <v/>
      </c>
    </row>
    <row r="48">
      <c r="A48" t="inlineStr">
        <is>
          <t>Kish 1+CV2 after</t>
        </is>
      </c>
      <c r="B48" s="5">
        <f>IFERROR(INDEX(manifest!$B:$B,MATCH("summary_kish_after",manifest!$A:$A,0)),"not in this export")</f>
        <v/>
      </c>
    </row>
    <row r="49">
      <c r="A49" t="inlineStr">
        <is>
          <t>Kish 1+CV2</t>
        </is>
      </c>
      <c r="B49" s="5">
        <f>IFERROR(INDEX(manifest!$B:$B,MATCH("summary_kish",manifest!$A:$A,0)),"not in this export")</f>
        <v/>
      </c>
    </row>
    <row r="50">
      <c r="A50" t="inlineStr">
        <is>
          <t>CV of the weights</t>
        </is>
      </c>
      <c r="B50" s="5">
        <f>IFERROR(INDEX(manifest!$B:$B,MATCH("summary_cv",manifest!$A:$A,0)),"not in this export")</f>
        <v/>
      </c>
    </row>
    <row r="51">
      <c r="A51" t="inlineStr">
        <is>
          <t>Population total</t>
        </is>
      </c>
      <c r="B51" s="5">
        <f>IFERROR(INDEX(manifest!$B:$B,MATCH("summary_N_pop",manifest!$A:$A,0)),"not in this export")</f>
        <v/>
      </c>
    </row>
    <row r="52">
      <c r="A52" t="inlineStr">
        <is>
          <t>Population in cells with no respondent</t>
        </is>
      </c>
      <c r="B52" s="5">
        <f>IFERROR(INDEX(manifest!$B:$B,MATCH("summary_population_uncovered",manifest!$A:$A,0)),"not in this export")</f>
        <v/>
      </c>
    </row>
    <row r="53">
      <c r="A53" t="inlineStr">
        <is>
          <t>Households</t>
        </is>
      </c>
      <c r="B53" s="5">
        <f>IFERROR(INDEX(manifest!$B:$B,MATCH("summary_N_hh",manifest!$A:$A,0)),"not in this export")</f>
        <v/>
      </c>
    </row>
    <row r="54">
      <c r="A54" t="inlineStr">
        <is>
          <t>Sum of population weights</t>
        </is>
      </c>
      <c r="B54" s="5">
        <f>IFERROR(INDEX(manifest!$B:$B,MATCH("summary_sum_pop",manifest!$A:$A,0)),"not in this export")</f>
        <v/>
      </c>
    </row>
    <row r="55">
      <c r="A55" t="inlineStr">
        <is>
          <t>Sum of household weights</t>
        </is>
      </c>
      <c r="B55" s="5">
        <f>IFERROR(INDEX(manifest!$B:$B,MATCH("summary_sum_hh",manifest!$A:$A,0)),"not in this export")</f>
        <v/>
      </c>
    </row>
    <row r="57">
      <c r="A57" s="3" t="inlineStr">
        <is>
          <t>Weight stages (weight_stages.csv)</t>
        </is>
      </c>
    </row>
    <row r="58">
      <c r="A58" s="6" t="inlineStr">
        <is>
          <t>stage</t>
        </is>
      </c>
      <c r="B58" s="6" t="inlineStr">
        <is>
          <t>variable</t>
        </is>
      </c>
      <c r="C58" s="6" t="inlineStr">
        <is>
          <t>n</t>
        </is>
      </c>
      <c r="D58" s="6" t="inlineStr">
        <is>
          <t>sum</t>
        </is>
      </c>
      <c r="E58" s="6" t="inlineStr">
        <is>
          <t>min</t>
        </is>
      </c>
      <c r="F58" s="6" t="inlineStr">
        <is>
          <t>p1</t>
        </is>
      </c>
      <c r="G58" s="6" t="inlineStr">
        <is>
          <t>p5</t>
        </is>
      </c>
      <c r="H58" s="6" t="inlineStr">
        <is>
          <t>p25</t>
        </is>
      </c>
      <c r="I58" s="6" t="inlineStr">
        <is>
          <t>p50</t>
        </is>
      </c>
      <c r="J58" s="6" t="inlineStr">
        <is>
          <t>p75</t>
        </is>
      </c>
      <c r="K58" s="6" t="inlineStr">
        <is>
          <t>p95</t>
        </is>
      </c>
      <c r="L58" s="6" t="inlineStr">
        <is>
          <t>p99</t>
        </is>
      </c>
      <c r="M58" s="6" t="inlineStr">
        <is>
          <t>max</t>
        </is>
      </c>
      <c r="N58" s="6" t="inlineStr">
        <is>
          <t>mean</t>
        </is>
      </c>
      <c r="O58" s="6" t="inlineStr">
        <is>
          <t>cv</t>
        </is>
      </c>
      <c r="P58" s="6" t="inlineStr">
        <is>
          <t>kish_deff</t>
        </is>
      </c>
      <c r="Q58" s="6" t="inlineStr">
        <is>
          <t>n_trimmed</t>
        </is>
      </c>
      <c r="R58" s="6" t="inlineStr">
        <is>
          <t>n_zero</t>
        </is>
      </c>
    </row>
    <row r="59">
      <c r="A59">
        <f>IF(weight_stages!A2="","",weight_stages!A2)</f>
        <v/>
      </c>
      <c r="B59">
        <f>IF(weight_stages!B2="","",weight_stages!B2)</f>
        <v/>
      </c>
      <c r="C59" s="7">
        <f>IF(weight_stages!C2="","",weight_stages!C2)</f>
        <v/>
      </c>
      <c r="D59" s="8">
        <f>IF(weight_stages!D2="","",weight_stages!D2)</f>
        <v/>
      </c>
      <c r="E59" s="8">
        <f>IF(weight_stages!E2="","",weight_stages!E2)</f>
        <v/>
      </c>
      <c r="F59" s="8">
        <f>IF(weight_stages!F2="","",weight_stages!F2)</f>
        <v/>
      </c>
      <c r="G59" s="8">
        <f>IF(weight_stages!G2="","",weight_stages!G2)</f>
        <v/>
      </c>
      <c r="H59" s="8">
        <f>IF(weight_stages!H2="","",weight_stages!H2)</f>
        <v/>
      </c>
      <c r="I59" s="8">
        <f>IF(weight_stages!I2="","",weight_stages!I2)</f>
        <v/>
      </c>
      <c r="J59" s="8">
        <f>IF(weight_stages!J2="","",weight_stages!J2)</f>
        <v/>
      </c>
      <c r="K59" s="8">
        <f>IF(weight_stages!K2="","",weight_stages!K2)</f>
        <v/>
      </c>
      <c r="L59" s="8">
        <f>IF(weight_stages!L2="","",weight_stages!L2)</f>
        <v/>
      </c>
      <c r="M59" s="8">
        <f>IF(weight_stages!M2="","",weight_stages!M2)</f>
        <v/>
      </c>
      <c r="N59" s="8">
        <f>IF(weight_stages!N2="","",weight_stages!N2)</f>
        <v/>
      </c>
      <c r="O59" s="8">
        <f>IF(weight_stages!O2="","",weight_stages!O2)</f>
        <v/>
      </c>
      <c r="P59" s="8">
        <f>IF(weight_stages!P2="","",weight_stages!P2)</f>
        <v/>
      </c>
      <c r="Q59" s="7">
        <f>IF(weight_stages!Q2="","",weight_stages!Q2)</f>
        <v/>
      </c>
      <c r="R59" s="7">
        <f>IF(weight_stages!R2="","",weight_stages!R2)</f>
        <v/>
      </c>
    </row>
    <row r="60">
      <c r="A60">
        <f>IF(weight_stages!A3="","",weight_stages!A3)</f>
        <v/>
      </c>
      <c r="B60">
        <f>IF(weight_stages!B3="","",weight_stages!B3)</f>
        <v/>
      </c>
      <c r="C60" s="7">
        <f>IF(weight_stages!C3="","",weight_stages!C3)</f>
        <v/>
      </c>
      <c r="D60" s="8">
        <f>IF(weight_stages!D3="","",weight_stages!D3)</f>
        <v/>
      </c>
      <c r="E60" s="8">
        <f>IF(weight_stages!E3="","",weight_stages!E3)</f>
        <v/>
      </c>
      <c r="F60" s="8">
        <f>IF(weight_stages!F3="","",weight_stages!F3)</f>
        <v/>
      </c>
      <c r="G60" s="8">
        <f>IF(weight_stages!G3="","",weight_stages!G3)</f>
        <v/>
      </c>
      <c r="H60" s="8">
        <f>IF(weight_stages!H3="","",weight_stages!H3)</f>
        <v/>
      </c>
      <c r="I60" s="8">
        <f>IF(weight_stages!I3="","",weight_stages!I3)</f>
        <v/>
      </c>
      <c r="J60" s="8">
        <f>IF(weight_stages!J3="","",weight_stages!J3)</f>
        <v/>
      </c>
      <c r="K60" s="8">
        <f>IF(weight_stages!K3="","",weight_stages!K3)</f>
        <v/>
      </c>
      <c r="L60" s="8">
        <f>IF(weight_stages!L3="","",weight_stages!L3)</f>
        <v/>
      </c>
      <c r="M60" s="8">
        <f>IF(weight_stages!M3="","",weight_stages!M3)</f>
        <v/>
      </c>
      <c r="N60" s="8">
        <f>IF(weight_stages!N3="","",weight_stages!N3)</f>
        <v/>
      </c>
      <c r="O60" s="8">
        <f>IF(weight_stages!O3="","",weight_stages!O3)</f>
        <v/>
      </c>
      <c r="P60" s="8">
        <f>IF(weight_stages!P3="","",weight_stages!P3)</f>
        <v/>
      </c>
      <c r="Q60" s="7">
        <f>IF(weight_stages!Q3="","",weight_stages!Q3)</f>
        <v/>
      </c>
      <c r="R60" s="7">
        <f>IF(weight_stages!R3="","",weight_stages!R3)</f>
        <v/>
      </c>
    </row>
    <row r="61">
      <c r="A61">
        <f>IF(weight_stages!A4="","",weight_stages!A4)</f>
        <v/>
      </c>
      <c r="B61">
        <f>IF(weight_stages!B4="","",weight_stages!B4)</f>
        <v/>
      </c>
      <c r="C61" s="7">
        <f>IF(weight_stages!C4="","",weight_stages!C4)</f>
        <v/>
      </c>
      <c r="D61" s="8">
        <f>IF(weight_stages!D4="","",weight_stages!D4)</f>
        <v/>
      </c>
      <c r="E61" s="8">
        <f>IF(weight_stages!E4="","",weight_stages!E4)</f>
        <v/>
      </c>
      <c r="F61" s="8">
        <f>IF(weight_stages!F4="","",weight_stages!F4)</f>
        <v/>
      </c>
      <c r="G61" s="8">
        <f>IF(weight_stages!G4="","",weight_stages!G4)</f>
        <v/>
      </c>
      <c r="H61" s="8">
        <f>IF(weight_stages!H4="","",weight_stages!H4)</f>
        <v/>
      </c>
      <c r="I61" s="8">
        <f>IF(weight_stages!I4="","",weight_stages!I4)</f>
        <v/>
      </c>
      <c r="J61" s="8">
        <f>IF(weight_stages!J4="","",weight_stages!J4)</f>
        <v/>
      </c>
      <c r="K61" s="8">
        <f>IF(weight_stages!K4="","",weight_stages!K4)</f>
        <v/>
      </c>
      <c r="L61" s="8">
        <f>IF(weight_stages!L4="","",weight_stages!L4)</f>
        <v/>
      </c>
      <c r="M61" s="8">
        <f>IF(weight_stages!M4="","",weight_stages!M4)</f>
        <v/>
      </c>
      <c r="N61" s="8">
        <f>IF(weight_stages!N4="","",weight_stages!N4)</f>
        <v/>
      </c>
      <c r="O61" s="8">
        <f>IF(weight_stages!O4="","",weight_stages!O4)</f>
        <v/>
      </c>
      <c r="P61" s="8">
        <f>IF(weight_stages!P4="","",weight_stages!P4)</f>
        <v/>
      </c>
      <c r="Q61" s="7">
        <f>IF(weight_stages!Q4="","",weight_stages!Q4)</f>
        <v/>
      </c>
      <c r="R61" s="7">
        <f>IF(weight_stages!R4="","",weight_stages!R4)</f>
        <v/>
      </c>
    </row>
    <row r="62">
      <c r="A62">
        <f>IF(weight_stages!A5="","",weight_stages!A5)</f>
        <v/>
      </c>
      <c r="B62">
        <f>IF(weight_stages!B5="","",weight_stages!B5)</f>
        <v/>
      </c>
      <c r="C62" s="7">
        <f>IF(weight_stages!C5="","",weight_stages!C5)</f>
        <v/>
      </c>
      <c r="D62" s="8">
        <f>IF(weight_stages!D5="","",weight_stages!D5)</f>
        <v/>
      </c>
      <c r="E62" s="8">
        <f>IF(weight_stages!E5="","",weight_stages!E5)</f>
        <v/>
      </c>
      <c r="F62" s="8">
        <f>IF(weight_stages!F5="","",weight_stages!F5)</f>
        <v/>
      </c>
      <c r="G62" s="8">
        <f>IF(weight_stages!G5="","",weight_stages!G5)</f>
        <v/>
      </c>
      <c r="H62" s="8">
        <f>IF(weight_stages!H5="","",weight_stages!H5)</f>
        <v/>
      </c>
      <c r="I62" s="8">
        <f>IF(weight_stages!I5="","",weight_stages!I5)</f>
        <v/>
      </c>
      <c r="J62" s="8">
        <f>IF(weight_stages!J5="","",weight_stages!J5)</f>
        <v/>
      </c>
      <c r="K62" s="8">
        <f>IF(weight_stages!K5="","",weight_stages!K5)</f>
        <v/>
      </c>
      <c r="L62" s="8">
        <f>IF(weight_stages!L5="","",weight_stages!L5)</f>
        <v/>
      </c>
      <c r="M62" s="8">
        <f>IF(weight_stages!M5="","",weight_stages!M5)</f>
        <v/>
      </c>
      <c r="N62" s="8">
        <f>IF(weight_stages!N5="","",weight_stages!N5)</f>
        <v/>
      </c>
      <c r="O62" s="8">
        <f>IF(weight_stages!O5="","",weight_stages!O5)</f>
        <v/>
      </c>
      <c r="P62" s="8">
        <f>IF(weight_stages!P5="","",weight_stages!P5)</f>
        <v/>
      </c>
      <c r="Q62" s="7">
        <f>IF(weight_stages!Q5="","",weight_stages!Q5)</f>
        <v/>
      </c>
      <c r="R62" s="7">
        <f>IF(weight_stages!R5="","",weight_stages!R5)</f>
        <v/>
      </c>
    </row>
    <row r="63">
      <c r="A63">
        <f>IF(weight_stages!A6="","",weight_stages!A6)</f>
        <v/>
      </c>
      <c r="B63">
        <f>IF(weight_stages!B6="","",weight_stages!B6)</f>
        <v/>
      </c>
      <c r="C63" s="7">
        <f>IF(weight_stages!C6="","",weight_stages!C6)</f>
        <v/>
      </c>
      <c r="D63" s="8">
        <f>IF(weight_stages!D6="","",weight_stages!D6)</f>
        <v/>
      </c>
      <c r="E63" s="8">
        <f>IF(weight_stages!E6="","",weight_stages!E6)</f>
        <v/>
      </c>
      <c r="F63" s="8">
        <f>IF(weight_stages!F6="","",weight_stages!F6)</f>
        <v/>
      </c>
      <c r="G63" s="8">
        <f>IF(weight_stages!G6="","",weight_stages!G6)</f>
        <v/>
      </c>
      <c r="H63" s="8">
        <f>IF(weight_stages!H6="","",weight_stages!H6)</f>
        <v/>
      </c>
      <c r="I63" s="8">
        <f>IF(weight_stages!I6="","",weight_stages!I6)</f>
        <v/>
      </c>
      <c r="J63" s="8">
        <f>IF(weight_stages!J6="","",weight_stages!J6)</f>
        <v/>
      </c>
      <c r="K63" s="8">
        <f>IF(weight_stages!K6="","",weight_stages!K6)</f>
        <v/>
      </c>
      <c r="L63" s="8">
        <f>IF(weight_stages!L6="","",weight_stages!L6)</f>
        <v/>
      </c>
      <c r="M63" s="8">
        <f>IF(weight_stages!M6="","",weight_stages!M6)</f>
        <v/>
      </c>
      <c r="N63" s="8">
        <f>IF(weight_stages!N6="","",weight_stages!N6)</f>
        <v/>
      </c>
      <c r="O63" s="8">
        <f>IF(weight_stages!O6="","",weight_stages!O6)</f>
        <v/>
      </c>
      <c r="P63" s="8">
        <f>IF(weight_stages!P6="","",weight_stages!P6)</f>
        <v/>
      </c>
      <c r="Q63" s="7">
        <f>IF(weight_stages!Q6="","",weight_stages!Q6)</f>
        <v/>
      </c>
      <c r="R63" s="7">
        <f>IF(weight_stages!R6="","",weight_stages!R6)</f>
        <v/>
      </c>
    </row>
    <row r="64">
      <c r="A64">
        <f>IF(weight_stages!A7="","",weight_stages!A7)</f>
        <v/>
      </c>
      <c r="B64">
        <f>IF(weight_stages!B7="","",weight_stages!B7)</f>
        <v/>
      </c>
      <c r="C64" s="7">
        <f>IF(weight_stages!C7="","",weight_stages!C7)</f>
        <v/>
      </c>
      <c r="D64" s="8">
        <f>IF(weight_stages!D7="","",weight_stages!D7)</f>
        <v/>
      </c>
      <c r="E64" s="8">
        <f>IF(weight_stages!E7="","",weight_stages!E7)</f>
        <v/>
      </c>
      <c r="F64" s="8">
        <f>IF(weight_stages!F7="","",weight_stages!F7)</f>
        <v/>
      </c>
      <c r="G64" s="8">
        <f>IF(weight_stages!G7="","",weight_stages!G7)</f>
        <v/>
      </c>
      <c r="H64" s="8">
        <f>IF(weight_stages!H7="","",weight_stages!H7)</f>
        <v/>
      </c>
      <c r="I64" s="8">
        <f>IF(weight_stages!I7="","",weight_stages!I7)</f>
        <v/>
      </c>
      <c r="J64" s="8">
        <f>IF(weight_stages!J7="","",weight_stages!J7)</f>
        <v/>
      </c>
      <c r="K64" s="8">
        <f>IF(weight_stages!K7="","",weight_stages!K7)</f>
        <v/>
      </c>
      <c r="L64" s="8">
        <f>IF(weight_stages!L7="","",weight_stages!L7)</f>
        <v/>
      </c>
      <c r="M64" s="8">
        <f>IF(weight_stages!M7="","",weight_stages!M7)</f>
        <v/>
      </c>
      <c r="N64" s="8">
        <f>IF(weight_stages!N7="","",weight_stages!N7)</f>
        <v/>
      </c>
      <c r="O64" s="8">
        <f>IF(weight_stages!O7="","",weight_stages!O7)</f>
        <v/>
      </c>
      <c r="P64" s="8">
        <f>IF(weight_stages!P7="","",weight_stages!P7)</f>
        <v/>
      </c>
      <c r="Q64" s="7">
        <f>IF(weight_stages!Q7="","",weight_stages!Q7)</f>
        <v/>
      </c>
      <c r="R64" s="7">
        <f>IF(weight_stages!R7="","",weight_stages!R7)</f>
        <v/>
      </c>
    </row>
    <row r="65">
      <c r="A65">
        <f>IF(weight_stages!A8="","",weight_stages!A8)</f>
        <v/>
      </c>
      <c r="B65">
        <f>IF(weight_stages!B8="","",weight_stages!B8)</f>
        <v/>
      </c>
      <c r="C65" s="7">
        <f>IF(weight_stages!C8="","",weight_stages!C8)</f>
        <v/>
      </c>
      <c r="D65" s="8">
        <f>IF(weight_stages!D8="","",weight_stages!D8)</f>
        <v/>
      </c>
      <c r="E65" s="8">
        <f>IF(weight_stages!E8="","",weight_stages!E8)</f>
        <v/>
      </c>
      <c r="F65" s="8">
        <f>IF(weight_stages!F8="","",weight_stages!F8)</f>
        <v/>
      </c>
      <c r="G65" s="8">
        <f>IF(weight_stages!G8="","",weight_stages!G8)</f>
        <v/>
      </c>
      <c r="H65" s="8">
        <f>IF(weight_stages!H8="","",weight_stages!H8)</f>
        <v/>
      </c>
      <c r="I65" s="8">
        <f>IF(weight_stages!I8="","",weight_stages!I8)</f>
        <v/>
      </c>
      <c r="J65" s="8">
        <f>IF(weight_stages!J8="","",weight_stages!J8)</f>
        <v/>
      </c>
      <c r="K65" s="8">
        <f>IF(weight_stages!K8="","",weight_stages!K8)</f>
        <v/>
      </c>
      <c r="L65" s="8">
        <f>IF(weight_stages!L8="","",weight_stages!L8)</f>
        <v/>
      </c>
      <c r="M65" s="8">
        <f>IF(weight_stages!M8="","",weight_stages!M8)</f>
        <v/>
      </c>
      <c r="N65" s="8">
        <f>IF(weight_stages!N8="","",weight_stages!N8)</f>
        <v/>
      </c>
      <c r="O65" s="8">
        <f>IF(weight_stages!O8="","",weight_stages!O8)</f>
        <v/>
      </c>
      <c r="P65" s="8">
        <f>IF(weight_stages!P8="","",weight_stages!P8)</f>
        <v/>
      </c>
      <c r="Q65" s="7">
        <f>IF(weight_stages!Q8="","",weight_stages!Q8)</f>
        <v/>
      </c>
      <c r="R65" s="7">
        <f>IF(weight_stages!R8="","",weight_stages!R8)</f>
        <v/>
      </c>
    </row>
    <row r="66">
      <c r="A66">
        <f>IF(weight_stages!A9="","",weight_stages!A9)</f>
        <v/>
      </c>
      <c r="B66">
        <f>IF(weight_stages!B9="","",weight_stages!B9)</f>
        <v/>
      </c>
      <c r="C66" s="7">
        <f>IF(weight_stages!C9="","",weight_stages!C9)</f>
        <v/>
      </c>
      <c r="D66" s="8">
        <f>IF(weight_stages!D9="","",weight_stages!D9)</f>
        <v/>
      </c>
      <c r="E66" s="8">
        <f>IF(weight_stages!E9="","",weight_stages!E9)</f>
        <v/>
      </c>
      <c r="F66" s="8">
        <f>IF(weight_stages!F9="","",weight_stages!F9)</f>
        <v/>
      </c>
      <c r="G66" s="8">
        <f>IF(weight_stages!G9="","",weight_stages!G9)</f>
        <v/>
      </c>
      <c r="H66" s="8">
        <f>IF(weight_stages!H9="","",weight_stages!H9)</f>
        <v/>
      </c>
      <c r="I66" s="8">
        <f>IF(weight_stages!I9="","",weight_stages!I9)</f>
        <v/>
      </c>
      <c r="J66" s="8">
        <f>IF(weight_stages!J9="","",weight_stages!J9)</f>
        <v/>
      </c>
      <c r="K66" s="8">
        <f>IF(weight_stages!K9="","",weight_stages!K9)</f>
        <v/>
      </c>
      <c r="L66" s="8">
        <f>IF(weight_stages!L9="","",weight_stages!L9)</f>
        <v/>
      </c>
      <c r="M66" s="8">
        <f>IF(weight_stages!M9="","",weight_stages!M9)</f>
        <v/>
      </c>
      <c r="N66" s="8">
        <f>IF(weight_stages!N9="","",weight_stages!N9)</f>
        <v/>
      </c>
      <c r="O66" s="8">
        <f>IF(weight_stages!O9="","",weight_stages!O9)</f>
        <v/>
      </c>
      <c r="P66" s="8">
        <f>IF(weight_stages!P9="","",weight_stages!P9)</f>
        <v/>
      </c>
      <c r="Q66" s="7">
        <f>IF(weight_stages!Q9="","",weight_stages!Q9)</f>
        <v/>
      </c>
      <c r="R66" s="7">
        <f>IF(weight_stages!R9="","",weight_stages!R9)</f>
        <v/>
      </c>
    </row>
    <row r="67">
      <c r="A67">
        <f>IF(weight_stages!A10="","",weight_stages!A10)</f>
        <v/>
      </c>
      <c r="B67">
        <f>IF(weight_stages!B10="","",weight_stages!B10)</f>
        <v/>
      </c>
      <c r="C67" s="7">
        <f>IF(weight_stages!C10="","",weight_stages!C10)</f>
        <v/>
      </c>
      <c r="D67" s="8">
        <f>IF(weight_stages!D10="","",weight_stages!D10)</f>
        <v/>
      </c>
      <c r="E67" s="8">
        <f>IF(weight_stages!E10="","",weight_stages!E10)</f>
        <v/>
      </c>
      <c r="F67" s="8">
        <f>IF(weight_stages!F10="","",weight_stages!F10)</f>
        <v/>
      </c>
      <c r="G67" s="8">
        <f>IF(weight_stages!G10="","",weight_stages!G10)</f>
        <v/>
      </c>
      <c r="H67" s="8">
        <f>IF(weight_stages!H10="","",weight_stages!H10)</f>
        <v/>
      </c>
      <c r="I67" s="8">
        <f>IF(weight_stages!I10="","",weight_stages!I10)</f>
        <v/>
      </c>
      <c r="J67" s="8">
        <f>IF(weight_stages!J10="","",weight_stages!J10)</f>
        <v/>
      </c>
      <c r="K67" s="8">
        <f>IF(weight_stages!K10="","",weight_stages!K10)</f>
        <v/>
      </c>
      <c r="L67" s="8">
        <f>IF(weight_stages!L10="","",weight_stages!L10)</f>
        <v/>
      </c>
      <c r="M67" s="8">
        <f>IF(weight_stages!M10="","",weight_stages!M10)</f>
        <v/>
      </c>
      <c r="N67" s="8">
        <f>IF(weight_stages!N10="","",weight_stages!N10)</f>
        <v/>
      </c>
      <c r="O67" s="8">
        <f>IF(weight_stages!O10="","",weight_stages!O10)</f>
        <v/>
      </c>
      <c r="P67" s="8">
        <f>IF(weight_stages!P10="","",weight_stages!P10)</f>
        <v/>
      </c>
      <c r="Q67" s="7">
        <f>IF(weight_stages!Q10="","",weight_stages!Q10)</f>
        <v/>
      </c>
      <c r="R67" s="7">
        <f>IF(weight_stages!R10="","",weight_stages!R10)</f>
        <v/>
      </c>
    </row>
    <row r="68">
      <c r="A68">
        <f>IF(weight_stages!A11="","",weight_stages!A11)</f>
        <v/>
      </c>
      <c r="B68">
        <f>IF(weight_stages!B11="","",weight_stages!B11)</f>
        <v/>
      </c>
      <c r="C68" s="7">
        <f>IF(weight_stages!C11="","",weight_stages!C11)</f>
        <v/>
      </c>
      <c r="D68" s="8">
        <f>IF(weight_stages!D11="","",weight_stages!D11)</f>
        <v/>
      </c>
      <c r="E68" s="8">
        <f>IF(weight_stages!E11="","",weight_stages!E11)</f>
        <v/>
      </c>
      <c r="F68" s="8">
        <f>IF(weight_stages!F11="","",weight_stages!F11)</f>
        <v/>
      </c>
      <c r="G68" s="8">
        <f>IF(weight_stages!G11="","",weight_stages!G11)</f>
        <v/>
      </c>
      <c r="H68" s="8">
        <f>IF(weight_stages!H11="","",weight_stages!H11)</f>
        <v/>
      </c>
      <c r="I68" s="8">
        <f>IF(weight_stages!I11="","",weight_stages!I11)</f>
        <v/>
      </c>
      <c r="J68" s="8">
        <f>IF(weight_stages!J11="","",weight_stages!J11)</f>
        <v/>
      </c>
      <c r="K68" s="8">
        <f>IF(weight_stages!K11="","",weight_stages!K11)</f>
        <v/>
      </c>
      <c r="L68" s="8">
        <f>IF(weight_stages!L11="","",weight_stages!L11)</f>
        <v/>
      </c>
      <c r="M68" s="8">
        <f>IF(weight_stages!M11="","",weight_stages!M11)</f>
        <v/>
      </c>
      <c r="N68" s="8">
        <f>IF(weight_stages!N11="","",weight_stages!N11)</f>
        <v/>
      </c>
      <c r="O68" s="8">
        <f>IF(weight_stages!O11="","",weight_stages!O11)</f>
        <v/>
      </c>
      <c r="P68" s="8">
        <f>IF(weight_stages!P11="","",weight_stages!P11)</f>
        <v/>
      </c>
      <c r="Q68" s="7">
        <f>IF(weight_stages!Q11="","",weight_stages!Q11)</f>
        <v/>
      </c>
      <c r="R68" s="7">
        <f>IF(weight_stages!R11="","",weight_stages!R11)</f>
        <v/>
      </c>
    </row>
    <row r="69">
      <c r="A69">
        <f>IF(weight_stages!A12="","",weight_stages!A12)</f>
        <v/>
      </c>
      <c r="B69">
        <f>IF(weight_stages!B12="","",weight_stages!B12)</f>
        <v/>
      </c>
      <c r="C69" s="7">
        <f>IF(weight_stages!C12="","",weight_stages!C12)</f>
        <v/>
      </c>
      <c r="D69" s="8">
        <f>IF(weight_stages!D12="","",weight_stages!D12)</f>
        <v/>
      </c>
      <c r="E69" s="8">
        <f>IF(weight_stages!E12="","",weight_stages!E12)</f>
        <v/>
      </c>
      <c r="F69" s="8">
        <f>IF(weight_stages!F12="","",weight_stages!F12)</f>
        <v/>
      </c>
      <c r="G69" s="8">
        <f>IF(weight_stages!G12="","",weight_stages!G12)</f>
        <v/>
      </c>
      <c r="H69" s="8">
        <f>IF(weight_stages!H12="","",weight_stages!H12)</f>
        <v/>
      </c>
      <c r="I69" s="8">
        <f>IF(weight_stages!I12="","",weight_stages!I12)</f>
        <v/>
      </c>
      <c r="J69" s="8">
        <f>IF(weight_stages!J12="","",weight_stages!J12)</f>
        <v/>
      </c>
      <c r="K69" s="8">
        <f>IF(weight_stages!K12="","",weight_stages!K12)</f>
        <v/>
      </c>
      <c r="L69" s="8">
        <f>IF(weight_stages!L12="","",weight_stages!L12)</f>
        <v/>
      </c>
      <c r="M69" s="8">
        <f>IF(weight_stages!M12="","",weight_stages!M12)</f>
        <v/>
      </c>
      <c r="N69" s="8">
        <f>IF(weight_stages!N12="","",weight_stages!N12)</f>
        <v/>
      </c>
      <c r="O69" s="8">
        <f>IF(weight_stages!O12="","",weight_stages!O12)</f>
        <v/>
      </c>
      <c r="P69" s="8">
        <f>IF(weight_stages!P12="","",weight_stages!P12)</f>
        <v/>
      </c>
      <c r="Q69" s="7">
        <f>IF(weight_stages!Q12="","",weight_stages!Q12)</f>
        <v/>
      </c>
      <c r="R69" s="7">
        <f>IF(weight_stages!R12="","",weight_stages!R12)</f>
        <v/>
      </c>
    </row>
    <row r="70">
      <c r="A70">
        <f>IF(weight_stages!A13="","",weight_stages!A13)</f>
        <v/>
      </c>
      <c r="B70">
        <f>IF(weight_stages!B13="","",weight_stages!B13)</f>
        <v/>
      </c>
      <c r="C70" s="7">
        <f>IF(weight_stages!C13="","",weight_stages!C13)</f>
        <v/>
      </c>
      <c r="D70" s="8">
        <f>IF(weight_stages!D13="","",weight_stages!D13)</f>
        <v/>
      </c>
      <c r="E70" s="8">
        <f>IF(weight_stages!E13="","",weight_stages!E13)</f>
        <v/>
      </c>
      <c r="F70" s="8">
        <f>IF(weight_stages!F13="","",weight_stages!F13)</f>
        <v/>
      </c>
      <c r="G70" s="8">
        <f>IF(weight_stages!G13="","",weight_stages!G13)</f>
        <v/>
      </c>
      <c r="H70" s="8">
        <f>IF(weight_stages!H13="","",weight_stages!H13)</f>
        <v/>
      </c>
      <c r="I70" s="8">
        <f>IF(weight_stages!I13="","",weight_stages!I13)</f>
        <v/>
      </c>
      <c r="J70" s="8">
        <f>IF(weight_stages!J13="","",weight_stages!J13)</f>
        <v/>
      </c>
      <c r="K70" s="8">
        <f>IF(weight_stages!K13="","",weight_stages!K13)</f>
        <v/>
      </c>
      <c r="L70" s="8">
        <f>IF(weight_stages!L13="","",weight_stages!L13)</f>
        <v/>
      </c>
      <c r="M70" s="8">
        <f>IF(weight_stages!M13="","",weight_stages!M13)</f>
        <v/>
      </c>
      <c r="N70" s="8">
        <f>IF(weight_stages!N13="","",weight_stages!N13)</f>
        <v/>
      </c>
      <c r="O70" s="8">
        <f>IF(weight_stages!O13="","",weight_stages!O13)</f>
        <v/>
      </c>
      <c r="P70" s="8">
        <f>IF(weight_stages!P13="","",weight_stages!P13)</f>
        <v/>
      </c>
      <c r="Q70" s="7">
        <f>IF(weight_stages!Q13="","",weight_stages!Q13)</f>
        <v/>
      </c>
      <c r="R70" s="7">
        <f>IF(weight_stages!R13="","",weight_stages!R13)</f>
        <v/>
      </c>
    </row>
    <row r="87">
      <c r="A87" s="3" t="inlineStr">
        <is>
          <t>Response by class or group (response_classes.csv)</t>
        </is>
      </c>
    </row>
    <row r="88">
      <c r="A88" s="6" t="inlineStr">
        <is>
          <t>class_var</t>
        </is>
      </c>
      <c r="B88" s="6" t="inlineStr">
        <is>
          <t>class</t>
        </is>
      </c>
      <c r="C88" s="6" t="inlineStr">
        <is>
          <t>n_sample</t>
        </is>
      </c>
      <c r="D88" s="6" t="inlineStr">
        <is>
          <t>n_respondents</t>
        </is>
      </c>
      <c r="E88" s="6" t="inlineStr">
        <is>
          <t>response_rate</t>
        </is>
      </c>
      <c r="F88" s="6" t="inlineStr">
        <is>
          <t>factor</t>
        </is>
      </c>
    </row>
    <row r="89">
      <c r="A89">
        <f>IF(response_classes!A2="","",response_classes!A2)</f>
        <v/>
      </c>
      <c r="B89">
        <f>IF(response_classes!B2="","",response_classes!B2)</f>
        <v/>
      </c>
      <c r="C89" s="7">
        <f>IF(response_classes!C2="","",response_classes!C2)</f>
        <v/>
      </c>
      <c r="D89" s="7">
        <f>IF(response_classes!D2="","",response_classes!D2)</f>
        <v/>
      </c>
      <c r="E89" s="9">
        <f>IF(response_classes!E2="","",response_classes!E2)</f>
        <v/>
      </c>
      <c r="F89" s="9">
        <f>IF(response_classes!F2="","",response_classes!F2)</f>
        <v/>
      </c>
    </row>
    <row r="90">
      <c r="A90">
        <f>IF(response_classes!A3="","",response_classes!A3)</f>
        <v/>
      </c>
      <c r="B90">
        <f>IF(response_classes!B3="","",response_classes!B3)</f>
        <v/>
      </c>
      <c r="C90" s="7">
        <f>IF(response_classes!C3="","",response_classes!C3)</f>
        <v/>
      </c>
      <c r="D90" s="7">
        <f>IF(response_classes!D3="","",response_classes!D3)</f>
        <v/>
      </c>
      <c r="E90" s="9">
        <f>IF(response_classes!E3="","",response_classes!E3)</f>
        <v/>
      </c>
      <c r="F90" s="9">
        <f>IF(response_classes!F3="","",response_classes!F3)</f>
        <v/>
      </c>
    </row>
    <row r="91">
      <c r="A91">
        <f>IF(response_classes!A4="","",response_classes!A4)</f>
        <v/>
      </c>
      <c r="B91">
        <f>IF(response_classes!B4="","",response_classes!B4)</f>
        <v/>
      </c>
      <c r="C91" s="7">
        <f>IF(response_classes!C4="","",response_classes!C4)</f>
        <v/>
      </c>
      <c r="D91" s="7">
        <f>IF(response_classes!D4="","",response_classes!D4)</f>
        <v/>
      </c>
      <c r="E91" s="9">
        <f>IF(response_classes!E4="","",response_classes!E4)</f>
        <v/>
      </c>
      <c r="F91" s="9">
        <f>IF(response_classes!F4="","",response_classes!F4)</f>
        <v/>
      </c>
    </row>
    <row r="92">
      <c r="A92">
        <f>IF(response_classes!A5="","",response_classes!A5)</f>
        <v/>
      </c>
      <c r="B92">
        <f>IF(response_classes!B5="","",response_classes!B5)</f>
        <v/>
      </c>
      <c r="C92" s="7">
        <f>IF(response_classes!C5="","",response_classes!C5)</f>
        <v/>
      </c>
      <c r="D92" s="7">
        <f>IF(response_classes!D5="","",response_classes!D5)</f>
        <v/>
      </c>
      <c r="E92" s="9">
        <f>IF(response_classes!E5="","",response_classes!E5)</f>
        <v/>
      </c>
      <c r="F92" s="9">
        <f>IF(response_classes!F5="","",response_classes!F5)</f>
        <v/>
      </c>
    </row>
    <row r="93">
      <c r="A93">
        <f>IF(response_classes!A6="","",response_classes!A6)</f>
        <v/>
      </c>
      <c r="B93">
        <f>IF(response_classes!B6="","",response_classes!B6)</f>
        <v/>
      </c>
      <c r="C93" s="7">
        <f>IF(response_classes!C6="","",response_classes!C6)</f>
        <v/>
      </c>
      <c r="D93" s="7">
        <f>IF(response_classes!D6="","",response_classes!D6)</f>
        <v/>
      </c>
      <c r="E93" s="9">
        <f>IF(response_classes!E6="","",response_classes!E6)</f>
        <v/>
      </c>
      <c r="F93" s="9">
        <f>IF(response_classes!F6="","",response_classes!F6)</f>
        <v/>
      </c>
    </row>
    <row r="94">
      <c r="A94">
        <f>IF(response_classes!A7="","",response_classes!A7)</f>
        <v/>
      </c>
      <c r="B94">
        <f>IF(response_classes!B7="","",response_classes!B7)</f>
        <v/>
      </c>
      <c r="C94" s="7">
        <f>IF(response_classes!C7="","",response_classes!C7)</f>
        <v/>
      </c>
      <c r="D94" s="7">
        <f>IF(response_classes!D7="","",response_classes!D7)</f>
        <v/>
      </c>
      <c r="E94" s="9">
        <f>IF(response_classes!E7="","",response_classes!E7)</f>
        <v/>
      </c>
      <c r="F94" s="9">
        <f>IF(response_classes!F7="","",response_classes!F7)</f>
        <v/>
      </c>
    </row>
    <row r="95">
      <c r="A95">
        <f>IF(response_classes!A8="","",response_classes!A8)</f>
        <v/>
      </c>
      <c r="B95">
        <f>IF(response_classes!B8="","",response_classes!B8)</f>
        <v/>
      </c>
      <c r="C95" s="7">
        <f>IF(response_classes!C8="","",response_classes!C8)</f>
        <v/>
      </c>
      <c r="D95" s="7">
        <f>IF(response_classes!D8="","",response_classes!D8)</f>
        <v/>
      </c>
      <c r="E95" s="9">
        <f>IF(response_classes!E8="","",response_classes!E8)</f>
        <v/>
      </c>
      <c r="F95" s="9">
        <f>IF(response_classes!F8="","",response_classes!F8)</f>
        <v/>
      </c>
    </row>
    <row r="96">
      <c r="A96">
        <f>IF(response_classes!A9="","",response_classes!A9)</f>
        <v/>
      </c>
      <c r="B96">
        <f>IF(response_classes!B9="","",response_classes!B9)</f>
        <v/>
      </c>
      <c r="C96" s="7">
        <f>IF(response_classes!C9="","",response_classes!C9)</f>
        <v/>
      </c>
      <c r="D96" s="7">
        <f>IF(response_classes!D9="","",response_classes!D9)</f>
        <v/>
      </c>
      <c r="E96" s="9">
        <f>IF(response_classes!E9="","",response_classes!E9)</f>
        <v/>
      </c>
      <c r="F96" s="9">
        <f>IF(response_classes!F9="","",response_classes!F9)</f>
        <v/>
      </c>
    </row>
    <row r="97">
      <c r="A97">
        <f>IF(response_classes!A10="","",response_classes!A10)</f>
        <v/>
      </c>
      <c r="B97">
        <f>IF(response_classes!B10="","",response_classes!B10)</f>
        <v/>
      </c>
      <c r="C97" s="7">
        <f>IF(response_classes!C10="","",response_classes!C10)</f>
        <v/>
      </c>
      <c r="D97" s="7">
        <f>IF(response_classes!D10="","",response_classes!D10)</f>
        <v/>
      </c>
      <c r="E97" s="9">
        <f>IF(response_classes!E10="","",response_classes!E10)</f>
        <v/>
      </c>
      <c r="F97" s="9">
        <f>IF(response_classes!F10="","",response_classes!F10)</f>
        <v/>
      </c>
    </row>
    <row r="98">
      <c r="A98">
        <f>IF(response_classes!A11="","",response_classes!A11)</f>
        <v/>
      </c>
      <c r="B98">
        <f>IF(response_classes!B11="","",response_classes!B11)</f>
        <v/>
      </c>
      <c r="C98" s="7">
        <f>IF(response_classes!C11="","",response_classes!C11)</f>
        <v/>
      </c>
      <c r="D98" s="7">
        <f>IF(response_classes!D11="","",response_classes!D11)</f>
        <v/>
      </c>
      <c r="E98" s="9">
        <f>IF(response_classes!E11="","",response_classes!E11)</f>
        <v/>
      </c>
      <c r="F98" s="9">
        <f>IF(response_classes!F11="","",response_classes!F11)</f>
        <v/>
      </c>
    </row>
    <row r="99">
      <c r="A99">
        <f>IF(response_classes!A12="","",response_classes!A12)</f>
        <v/>
      </c>
      <c r="B99">
        <f>IF(response_classes!B12="","",response_classes!B12)</f>
        <v/>
      </c>
      <c r="C99" s="7">
        <f>IF(response_classes!C12="","",response_classes!C12)</f>
        <v/>
      </c>
      <c r="D99" s="7">
        <f>IF(response_classes!D12="","",response_classes!D12)</f>
        <v/>
      </c>
      <c r="E99" s="9">
        <f>IF(response_classes!E12="","",response_classes!E12)</f>
        <v/>
      </c>
      <c r="F99" s="9">
        <f>IF(response_classes!F12="","",response_classes!F12)</f>
        <v/>
      </c>
    </row>
    <row r="100">
      <c r="A100">
        <f>IF(response_classes!A13="","",response_classes!A13)</f>
        <v/>
      </c>
      <c r="B100">
        <f>IF(response_classes!B13="","",response_classes!B13)</f>
        <v/>
      </c>
      <c r="C100" s="7">
        <f>IF(response_classes!C13="","",response_classes!C13)</f>
        <v/>
      </c>
      <c r="D100" s="7">
        <f>IF(response_classes!D13="","",response_classes!D13)</f>
        <v/>
      </c>
      <c r="E100" s="9">
        <f>IF(response_classes!E13="","",response_classes!E13)</f>
        <v/>
      </c>
      <c r="F100" s="9">
        <f>IF(response_classes!F13="","",response_classes!F13)</f>
        <v/>
      </c>
    </row>
    <row r="101">
      <c r="A101">
        <f>IF(response_classes!A14="","",response_classes!A14)</f>
        <v/>
      </c>
      <c r="B101">
        <f>IF(response_classes!B14="","",response_classes!B14)</f>
        <v/>
      </c>
      <c r="C101" s="7">
        <f>IF(response_classes!C14="","",response_classes!C14)</f>
        <v/>
      </c>
      <c r="D101" s="7">
        <f>IF(response_classes!D14="","",response_classes!D14)</f>
        <v/>
      </c>
      <c r="E101" s="9">
        <f>IF(response_classes!E14="","",response_classes!E14)</f>
        <v/>
      </c>
      <c r="F101" s="9">
        <f>IF(response_classes!F14="","",response_classes!F14)</f>
        <v/>
      </c>
    </row>
    <row r="102">
      <c r="A102">
        <f>IF(response_classes!A15="","",response_classes!A15)</f>
        <v/>
      </c>
      <c r="B102">
        <f>IF(response_classes!B15="","",response_classes!B15)</f>
        <v/>
      </c>
      <c r="C102" s="7">
        <f>IF(response_classes!C15="","",response_classes!C15)</f>
        <v/>
      </c>
      <c r="D102" s="7">
        <f>IF(response_classes!D15="","",response_classes!D15)</f>
        <v/>
      </c>
      <c r="E102" s="9">
        <f>IF(response_classes!E15="","",response_classes!E15)</f>
        <v/>
      </c>
      <c r="F102" s="9">
        <f>IF(response_classes!F15="","",response_classes!F15)</f>
        <v/>
      </c>
    </row>
    <row r="103">
      <c r="A103">
        <f>IF(response_classes!A16="","",response_classes!A16)</f>
        <v/>
      </c>
      <c r="B103">
        <f>IF(response_classes!B16="","",response_classes!B16)</f>
        <v/>
      </c>
      <c r="C103" s="7">
        <f>IF(response_classes!C16="","",response_classes!C16)</f>
        <v/>
      </c>
      <c r="D103" s="7">
        <f>IF(response_classes!D16="","",response_classes!D16)</f>
        <v/>
      </c>
      <c r="E103" s="9">
        <f>IF(response_classes!E16="","",response_classes!E16)</f>
        <v/>
      </c>
      <c r="F103" s="9">
        <f>IF(response_classes!F16="","",response_classes!F16)</f>
        <v/>
      </c>
    </row>
    <row r="104">
      <c r="A104">
        <f>IF(response_classes!A17="","",response_classes!A17)</f>
        <v/>
      </c>
      <c r="B104">
        <f>IF(response_classes!B17="","",response_classes!B17)</f>
        <v/>
      </c>
      <c r="C104" s="7">
        <f>IF(response_classes!C17="","",response_classes!C17)</f>
        <v/>
      </c>
      <c r="D104" s="7">
        <f>IF(response_classes!D17="","",response_classes!D17)</f>
        <v/>
      </c>
      <c r="E104" s="9">
        <f>IF(response_classes!E17="","",response_classes!E17)</f>
        <v/>
      </c>
      <c r="F104" s="9">
        <f>IF(response_classes!F17="","",response_classes!F17)</f>
        <v/>
      </c>
    </row>
    <row r="105">
      <c r="A105">
        <f>IF(response_classes!A18="","",response_classes!A18)</f>
        <v/>
      </c>
      <c r="B105">
        <f>IF(response_classes!B18="","",response_classes!B18)</f>
        <v/>
      </c>
      <c r="C105" s="7">
        <f>IF(response_classes!C18="","",response_classes!C18)</f>
        <v/>
      </c>
      <c r="D105" s="7">
        <f>IF(response_classes!D18="","",response_classes!D18)</f>
        <v/>
      </c>
      <c r="E105" s="9">
        <f>IF(response_classes!E18="","",response_classes!E18)</f>
        <v/>
      </c>
      <c r="F105" s="9">
        <f>IF(response_classes!F18="","",response_classes!F18)</f>
        <v/>
      </c>
    </row>
    <row r="106">
      <c r="A106">
        <f>IF(response_classes!A19="","",response_classes!A19)</f>
        <v/>
      </c>
      <c r="B106">
        <f>IF(response_classes!B19="","",response_classes!B19)</f>
        <v/>
      </c>
      <c r="C106" s="7">
        <f>IF(response_classes!C19="","",response_classes!C19)</f>
        <v/>
      </c>
      <c r="D106" s="7">
        <f>IF(response_classes!D19="","",response_classes!D19)</f>
        <v/>
      </c>
      <c r="E106" s="9">
        <f>IF(response_classes!E19="","",response_classes!E19)</f>
        <v/>
      </c>
      <c r="F106" s="9">
        <f>IF(response_classes!F19="","",response_classes!F19)</f>
        <v/>
      </c>
    </row>
    <row r="107">
      <c r="A107">
        <f>IF(response_classes!A20="","",response_classes!A20)</f>
        <v/>
      </c>
      <c r="B107">
        <f>IF(response_classes!B20="","",response_classes!B20)</f>
        <v/>
      </c>
      <c r="C107" s="7">
        <f>IF(response_classes!C20="","",response_classes!C20)</f>
        <v/>
      </c>
      <c r="D107" s="7">
        <f>IF(response_classes!D20="","",response_classes!D20)</f>
        <v/>
      </c>
      <c r="E107" s="9">
        <f>IF(response_classes!E20="","",response_classes!E20)</f>
        <v/>
      </c>
      <c r="F107" s="9">
        <f>IF(response_classes!F20="","",response_classes!F20)</f>
        <v/>
      </c>
    </row>
    <row r="108">
      <c r="A108">
        <f>IF(response_classes!A21="","",response_classes!A21)</f>
        <v/>
      </c>
      <c r="B108">
        <f>IF(response_classes!B21="","",response_classes!B21)</f>
        <v/>
      </c>
      <c r="C108" s="7">
        <f>IF(response_classes!C21="","",response_classes!C21)</f>
        <v/>
      </c>
      <c r="D108" s="7">
        <f>IF(response_classes!D21="","",response_classes!D21)</f>
        <v/>
      </c>
      <c r="E108" s="9">
        <f>IF(response_classes!E21="","",response_classes!E21)</f>
        <v/>
      </c>
      <c r="F108" s="9">
        <f>IF(response_classes!F21="","",response_classes!F21)</f>
        <v/>
      </c>
    </row>
    <row r="109">
      <c r="A109">
        <f>IF(response_classes!A22="","",response_classes!A22)</f>
        <v/>
      </c>
      <c r="B109">
        <f>IF(response_classes!B22="","",response_classes!B22)</f>
        <v/>
      </c>
      <c r="C109" s="7">
        <f>IF(response_classes!C22="","",response_classes!C22)</f>
        <v/>
      </c>
      <c r="D109" s="7">
        <f>IF(response_classes!D22="","",response_classes!D22)</f>
        <v/>
      </c>
      <c r="E109" s="9">
        <f>IF(response_classes!E22="","",response_classes!E22)</f>
        <v/>
      </c>
      <c r="F109" s="9">
        <f>IF(response_classes!F22="","",response_classes!F22)</f>
        <v/>
      </c>
    </row>
    <row r="110">
      <c r="A110">
        <f>IF(response_classes!A23="","",response_classes!A23)</f>
        <v/>
      </c>
      <c r="B110">
        <f>IF(response_classes!B23="","",response_classes!B23)</f>
        <v/>
      </c>
      <c r="C110" s="7">
        <f>IF(response_classes!C23="","",response_classes!C23)</f>
        <v/>
      </c>
      <c r="D110" s="7">
        <f>IF(response_classes!D23="","",response_classes!D23)</f>
        <v/>
      </c>
      <c r="E110" s="9">
        <f>IF(response_classes!E23="","",response_classes!E23)</f>
        <v/>
      </c>
      <c r="F110" s="9">
        <f>IF(response_classes!F23="","",response_classes!F23)</f>
        <v/>
      </c>
    </row>
    <row r="111">
      <c r="A111">
        <f>IF(response_classes!A24="","",response_classes!A24)</f>
        <v/>
      </c>
      <c r="B111">
        <f>IF(response_classes!B24="","",response_classes!B24)</f>
        <v/>
      </c>
      <c r="C111" s="7">
        <f>IF(response_classes!C24="","",response_classes!C24)</f>
        <v/>
      </c>
      <c r="D111" s="7">
        <f>IF(response_classes!D24="","",response_classes!D24)</f>
        <v/>
      </c>
      <c r="E111" s="9">
        <f>IF(response_classes!E24="","",response_classes!E24)</f>
        <v/>
      </c>
      <c r="F111" s="9">
        <f>IF(response_classes!F24="","",response_classes!F24)</f>
        <v/>
      </c>
    </row>
    <row r="112">
      <c r="A112">
        <f>IF(response_classes!A25="","",response_classes!A25)</f>
        <v/>
      </c>
      <c r="B112">
        <f>IF(response_classes!B25="","",response_classes!B25)</f>
        <v/>
      </c>
      <c r="C112" s="7">
        <f>IF(response_classes!C25="","",response_classes!C25)</f>
        <v/>
      </c>
      <c r="D112" s="7">
        <f>IF(response_classes!D25="","",response_classes!D25)</f>
        <v/>
      </c>
      <c r="E112" s="9">
        <f>IF(response_classes!E25="","",response_classes!E25)</f>
        <v/>
      </c>
      <c r="F112" s="9">
        <f>IF(response_classes!F25="","",response_classes!F25)</f>
        <v/>
      </c>
    </row>
    <row r="113">
      <c r="A113">
        <f>IF(response_classes!A26="","",response_classes!A26)</f>
        <v/>
      </c>
      <c r="B113">
        <f>IF(response_classes!B26="","",response_classes!B26)</f>
        <v/>
      </c>
      <c r="C113" s="7">
        <f>IF(response_classes!C26="","",response_classes!C26)</f>
        <v/>
      </c>
      <c r="D113" s="7">
        <f>IF(response_classes!D26="","",response_classes!D26)</f>
        <v/>
      </c>
      <c r="E113" s="9">
        <f>IF(response_classes!E26="","",response_classes!E26)</f>
        <v/>
      </c>
      <c r="F113" s="9">
        <f>IF(response_classes!F26="","",response_classes!F26)</f>
        <v/>
      </c>
    </row>
    <row r="114">
      <c r="A114">
        <f>IF(response_classes!A27="","",response_classes!A27)</f>
        <v/>
      </c>
      <c r="B114">
        <f>IF(response_classes!B27="","",response_classes!B27)</f>
        <v/>
      </c>
      <c r="C114" s="7">
        <f>IF(response_classes!C27="","",response_classes!C27)</f>
        <v/>
      </c>
      <c r="D114" s="7">
        <f>IF(response_classes!D27="","",response_classes!D27)</f>
        <v/>
      </c>
      <c r="E114" s="9">
        <f>IF(response_classes!E27="","",response_classes!E27)</f>
        <v/>
      </c>
      <c r="F114" s="9">
        <f>IF(response_classes!F27="","",response_classes!F27)</f>
        <v/>
      </c>
    </row>
    <row r="115">
      <c r="A115">
        <f>IF(response_classes!A28="","",response_classes!A28)</f>
        <v/>
      </c>
      <c r="B115">
        <f>IF(response_classes!B28="","",response_classes!B28)</f>
        <v/>
      </c>
      <c r="C115" s="7">
        <f>IF(response_classes!C28="","",response_classes!C28)</f>
        <v/>
      </c>
      <c r="D115" s="7">
        <f>IF(response_classes!D28="","",response_classes!D28)</f>
        <v/>
      </c>
      <c r="E115" s="9">
        <f>IF(response_classes!E28="","",response_classes!E28)</f>
        <v/>
      </c>
      <c r="F115" s="9">
        <f>IF(response_classes!F28="","",response_classes!F28)</f>
        <v/>
      </c>
    </row>
    <row r="116">
      <c r="A116">
        <f>IF(response_classes!A29="","",response_classes!A29)</f>
        <v/>
      </c>
      <c r="B116">
        <f>IF(response_classes!B29="","",response_classes!B29)</f>
        <v/>
      </c>
      <c r="C116" s="7">
        <f>IF(response_classes!C29="","",response_classes!C29)</f>
        <v/>
      </c>
      <c r="D116" s="7">
        <f>IF(response_classes!D29="","",response_classes!D29)</f>
        <v/>
      </c>
      <c r="E116" s="9">
        <f>IF(response_classes!E29="","",response_classes!E29)</f>
        <v/>
      </c>
      <c r="F116" s="9">
        <f>IF(response_classes!F29="","",response_classes!F29)</f>
        <v/>
      </c>
    </row>
    <row r="117">
      <c r="A117">
        <f>IF(response_classes!A30="","",response_classes!A30)</f>
        <v/>
      </c>
      <c r="B117">
        <f>IF(response_classes!B30="","",response_classes!B30)</f>
        <v/>
      </c>
      <c r="C117" s="7">
        <f>IF(response_classes!C30="","",response_classes!C30)</f>
        <v/>
      </c>
      <c r="D117" s="7">
        <f>IF(response_classes!D30="","",response_classes!D30)</f>
        <v/>
      </c>
      <c r="E117" s="9">
        <f>IF(response_classes!E30="","",response_classes!E30)</f>
        <v/>
      </c>
      <c r="F117" s="9">
        <f>IF(response_classes!F30="","",response_classes!F30)</f>
        <v/>
      </c>
    </row>
    <row r="118">
      <c r="A118">
        <f>IF(response_classes!A31="","",response_classes!A31)</f>
        <v/>
      </c>
      <c r="B118">
        <f>IF(response_classes!B31="","",response_classes!B31)</f>
        <v/>
      </c>
      <c r="C118" s="7">
        <f>IF(response_classes!C31="","",response_classes!C31)</f>
        <v/>
      </c>
      <c r="D118" s="7">
        <f>IF(response_classes!D31="","",response_classes!D31)</f>
        <v/>
      </c>
      <c r="E118" s="9">
        <f>IF(response_classes!E31="","",response_classes!E31)</f>
        <v/>
      </c>
      <c r="F118" s="9">
        <f>IF(response_classes!F31="","",response_classes!F31)</f>
        <v/>
      </c>
    </row>
    <row r="120">
      <c r="A120" s="3" t="inlineStr">
        <is>
          <t>Calibration or balancing fit (calibration_fit.csv)</t>
        </is>
      </c>
    </row>
    <row r="121">
      <c r="A121" s="6" t="inlineStr">
        <is>
          <t>constraint</t>
        </is>
      </c>
      <c r="B121" s="6" t="inlineStr">
        <is>
          <t>target</t>
        </is>
      </c>
      <c r="C121" s="6" t="inlineStr">
        <is>
          <t>before</t>
        </is>
      </c>
      <c r="D121" s="6" t="inlineStr">
        <is>
          <t>after</t>
        </is>
      </c>
      <c r="E121" s="6" t="inlineStr">
        <is>
          <t>diff</t>
        </is>
      </c>
      <c r="F121" s="6" t="inlineStr">
        <is>
          <t>rel_diff</t>
        </is>
      </c>
      <c r="G121" s="6" t="inlineStr">
        <is>
          <t>converged</t>
        </is>
      </c>
      <c r="H121" s="6" t="inlineStr">
        <is>
          <t>iterations</t>
        </is>
      </c>
    </row>
    <row r="122">
      <c r="A122">
        <f>IF(calibration_fit!A2="","",calibration_fit!A2)</f>
        <v/>
      </c>
      <c r="B122" s="8">
        <f>IF(calibration_fit!B2="","",calibration_fit!B2)</f>
        <v/>
      </c>
      <c r="C122" s="8">
        <f>IF(calibration_fit!C2="","",calibration_fit!C2)</f>
        <v/>
      </c>
      <c r="D122" s="8">
        <f>IF(calibration_fit!D2="","",calibration_fit!D2)</f>
        <v/>
      </c>
      <c r="E122" s="8">
        <f>IF(calibration_fit!E2="","",calibration_fit!E2)</f>
        <v/>
      </c>
      <c r="F122" s="10">
        <f>IF(calibration_fit!F2="","",calibration_fit!F2)</f>
        <v/>
      </c>
      <c r="G122">
        <f>IF(calibration_fit!G2="","",calibration_fit!G2)</f>
        <v/>
      </c>
      <c r="H122">
        <f>IF(calibration_fit!H2="","",calibration_fit!H2)</f>
        <v/>
      </c>
    </row>
    <row r="123">
      <c r="A123">
        <f>IF(calibration_fit!A3="","",calibration_fit!A3)</f>
        <v/>
      </c>
      <c r="B123" s="8">
        <f>IF(calibration_fit!B3="","",calibration_fit!B3)</f>
        <v/>
      </c>
      <c r="C123" s="8">
        <f>IF(calibration_fit!C3="","",calibration_fit!C3)</f>
        <v/>
      </c>
      <c r="D123" s="8">
        <f>IF(calibration_fit!D3="","",calibration_fit!D3)</f>
        <v/>
      </c>
      <c r="E123" s="8">
        <f>IF(calibration_fit!E3="","",calibration_fit!E3)</f>
        <v/>
      </c>
      <c r="F123" s="10">
        <f>IF(calibration_fit!F3="","",calibration_fit!F3)</f>
        <v/>
      </c>
      <c r="G123">
        <f>IF(calibration_fit!G3="","",calibration_fit!G3)</f>
        <v/>
      </c>
      <c r="H123">
        <f>IF(calibration_fit!H3="","",calibration_fit!H3)</f>
        <v/>
      </c>
    </row>
    <row r="124">
      <c r="A124">
        <f>IF(calibration_fit!A4="","",calibration_fit!A4)</f>
        <v/>
      </c>
      <c r="B124" s="8">
        <f>IF(calibration_fit!B4="","",calibration_fit!B4)</f>
        <v/>
      </c>
      <c r="C124" s="8">
        <f>IF(calibration_fit!C4="","",calibration_fit!C4)</f>
        <v/>
      </c>
      <c r="D124" s="8">
        <f>IF(calibration_fit!D4="","",calibration_fit!D4)</f>
        <v/>
      </c>
      <c r="E124" s="8">
        <f>IF(calibration_fit!E4="","",calibration_fit!E4)</f>
        <v/>
      </c>
      <c r="F124" s="10">
        <f>IF(calibration_fit!F4="","",calibration_fit!F4)</f>
        <v/>
      </c>
      <c r="G124">
        <f>IF(calibration_fit!G4="","",calibration_fit!G4)</f>
        <v/>
      </c>
      <c r="H124">
        <f>IF(calibration_fit!H4="","",calibration_fit!H4)</f>
        <v/>
      </c>
    </row>
    <row r="125">
      <c r="A125">
        <f>IF(calibration_fit!A5="","",calibration_fit!A5)</f>
        <v/>
      </c>
      <c r="B125" s="8">
        <f>IF(calibration_fit!B5="","",calibration_fit!B5)</f>
        <v/>
      </c>
      <c r="C125" s="8">
        <f>IF(calibration_fit!C5="","",calibration_fit!C5)</f>
        <v/>
      </c>
      <c r="D125" s="8">
        <f>IF(calibration_fit!D5="","",calibration_fit!D5)</f>
        <v/>
      </c>
      <c r="E125" s="8">
        <f>IF(calibration_fit!E5="","",calibration_fit!E5)</f>
        <v/>
      </c>
      <c r="F125" s="10">
        <f>IF(calibration_fit!F5="","",calibration_fit!F5)</f>
        <v/>
      </c>
      <c r="G125">
        <f>IF(calibration_fit!G5="","",calibration_fit!G5)</f>
        <v/>
      </c>
      <c r="H125">
        <f>IF(calibration_fit!H5="","",calibration_fit!H5)</f>
        <v/>
      </c>
    </row>
    <row r="126">
      <c r="A126">
        <f>IF(calibration_fit!A6="","",calibration_fit!A6)</f>
        <v/>
      </c>
      <c r="B126" s="8">
        <f>IF(calibration_fit!B6="","",calibration_fit!B6)</f>
        <v/>
      </c>
      <c r="C126" s="8">
        <f>IF(calibration_fit!C6="","",calibration_fit!C6)</f>
        <v/>
      </c>
      <c r="D126" s="8">
        <f>IF(calibration_fit!D6="","",calibration_fit!D6)</f>
        <v/>
      </c>
      <c r="E126" s="8">
        <f>IF(calibration_fit!E6="","",calibration_fit!E6)</f>
        <v/>
      </c>
      <c r="F126" s="10">
        <f>IF(calibration_fit!F6="","",calibration_fit!F6)</f>
        <v/>
      </c>
      <c r="G126">
        <f>IF(calibration_fit!G6="","",calibration_fit!G6)</f>
        <v/>
      </c>
      <c r="H126">
        <f>IF(calibration_fit!H6="","",calibration_fit!H6)</f>
        <v/>
      </c>
    </row>
    <row r="127">
      <c r="A127">
        <f>IF(calibration_fit!A7="","",calibration_fit!A7)</f>
        <v/>
      </c>
      <c r="B127" s="8">
        <f>IF(calibration_fit!B7="","",calibration_fit!B7)</f>
        <v/>
      </c>
      <c r="C127" s="8">
        <f>IF(calibration_fit!C7="","",calibration_fit!C7)</f>
        <v/>
      </c>
      <c r="D127" s="8">
        <f>IF(calibration_fit!D7="","",calibration_fit!D7)</f>
        <v/>
      </c>
      <c r="E127" s="8">
        <f>IF(calibration_fit!E7="","",calibration_fit!E7)</f>
        <v/>
      </c>
      <c r="F127" s="10">
        <f>IF(calibration_fit!F7="","",calibration_fit!F7)</f>
        <v/>
      </c>
      <c r="G127">
        <f>IF(calibration_fit!G7="","",calibration_fit!G7)</f>
        <v/>
      </c>
      <c r="H127">
        <f>IF(calibration_fit!H7="","",calibration_fit!H7)</f>
        <v/>
      </c>
    </row>
    <row r="128">
      <c r="A128">
        <f>IF(calibration_fit!A8="","",calibration_fit!A8)</f>
        <v/>
      </c>
      <c r="B128" s="8">
        <f>IF(calibration_fit!B8="","",calibration_fit!B8)</f>
        <v/>
      </c>
      <c r="C128" s="8">
        <f>IF(calibration_fit!C8="","",calibration_fit!C8)</f>
        <v/>
      </c>
      <c r="D128" s="8">
        <f>IF(calibration_fit!D8="","",calibration_fit!D8)</f>
        <v/>
      </c>
      <c r="E128" s="8">
        <f>IF(calibration_fit!E8="","",calibration_fit!E8)</f>
        <v/>
      </c>
      <c r="F128" s="10">
        <f>IF(calibration_fit!F8="","",calibration_fit!F8)</f>
        <v/>
      </c>
      <c r="G128">
        <f>IF(calibration_fit!G8="","",calibration_fit!G8)</f>
        <v/>
      </c>
      <c r="H128">
        <f>IF(calibration_fit!H8="","",calibration_fit!H8)</f>
        <v/>
      </c>
    </row>
    <row r="129">
      <c r="A129">
        <f>IF(calibration_fit!A9="","",calibration_fit!A9)</f>
        <v/>
      </c>
      <c r="B129" s="8">
        <f>IF(calibration_fit!B9="","",calibration_fit!B9)</f>
        <v/>
      </c>
      <c r="C129" s="8">
        <f>IF(calibration_fit!C9="","",calibration_fit!C9)</f>
        <v/>
      </c>
      <c r="D129" s="8">
        <f>IF(calibration_fit!D9="","",calibration_fit!D9)</f>
        <v/>
      </c>
      <c r="E129" s="8">
        <f>IF(calibration_fit!E9="","",calibration_fit!E9)</f>
        <v/>
      </c>
      <c r="F129" s="10">
        <f>IF(calibration_fit!F9="","",calibration_fit!F9)</f>
        <v/>
      </c>
      <c r="G129">
        <f>IF(calibration_fit!G9="","",calibration_fit!G9)</f>
        <v/>
      </c>
      <c r="H129">
        <f>IF(calibration_fit!H9="","",calibration_fit!H9)</f>
        <v/>
      </c>
    </row>
    <row r="130">
      <c r="A130">
        <f>IF(calibration_fit!A10="","",calibration_fit!A10)</f>
        <v/>
      </c>
      <c r="B130" s="8">
        <f>IF(calibration_fit!B10="","",calibration_fit!B10)</f>
        <v/>
      </c>
      <c r="C130" s="8">
        <f>IF(calibration_fit!C10="","",calibration_fit!C10)</f>
        <v/>
      </c>
      <c r="D130" s="8">
        <f>IF(calibration_fit!D10="","",calibration_fit!D10)</f>
        <v/>
      </c>
      <c r="E130" s="8">
        <f>IF(calibration_fit!E10="","",calibration_fit!E10)</f>
        <v/>
      </c>
      <c r="F130" s="10">
        <f>IF(calibration_fit!F10="","",calibration_fit!F10)</f>
        <v/>
      </c>
      <c r="G130">
        <f>IF(calibration_fit!G10="","",calibration_fit!G10)</f>
        <v/>
      </c>
      <c r="H130">
        <f>IF(calibration_fit!H10="","",calibration_fit!H10)</f>
        <v/>
      </c>
    </row>
    <row r="131">
      <c r="A131">
        <f>IF(calibration_fit!A11="","",calibration_fit!A11)</f>
        <v/>
      </c>
      <c r="B131" s="8">
        <f>IF(calibration_fit!B11="","",calibration_fit!B11)</f>
        <v/>
      </c>
      <c r="C131" s="8">
        <f>IF(calibration_fit!C11="","",calibration_fit!C11)</f>
        <v/>
      </c>
      <c r="D131" s="8">
        <f>IF(calibration_fit!D11="","",calibration_fit!D11)</f>
        <v/>
      </c>
      <c r="E131" s="8">
        <f>IF(calibration_fit!E11="","",calibration_fit!E11)</f>
        <v/>
      </c>
      <c r="F131" s="10">
        <f>IF(calibration_fit!F11="","",calibration_fit!F11)</f>
        <v/>
      </c>
      <c r="G131">
        <f>IF(calibration_fit!G11="","",calibration_fit!G11)</f>
        <v/>
      </c>
      <c r="H131">
        <f>IF(calibration_fit!H11="","",calibration_fit!H11)</f>
        <v/>
      </c>
    </row>
    <row r="132">
      <c r="A132">
        <f>IF(calibration_fit!A12="","",calibration_fit!A12)</f>
        <v/>
      </c>
      <c r="B132" s="8">
        <f>IF(calibration_fit!B12="","",calibration_fit!B12)</f>
        <v/>
      </c>
      <c r="C132" s="8">
        <f>IF(calibration_fit!C12="","",calibration_fit!C12)</f>
        <v/>
      </c>
      <c r="D132" s="8">
        <f>IF(calibration_fit!D12="","",calibration_fit!D12)</f>
        <v/>
      </c>
      <c r="E132" s="8">
        <f>IF(calibration_fit!E12="","",calibration_fit!E12)</f>
        <v/>
      </c>
      <c r="F132" s="10">
        <f>IF(calibration_fit!F12="","",calibration_fit!F12)</f>
        <v/>
      </c>
      <c r="G132">
        <f>IF(calibration_fit!G12="","",calibration_fit!G12)</f>
        <v/>
      </c>
      <c r="H132">
        <f>IF(calibration_fit!H12="","",calibration_fit!H12)</f>
        <v/>
      </c>
    </row>
    <row r="133">
      <c r="A133">
        <f>IF(calibration_fit!A13="","",calibration_fit!A13)</f>
        <v/>
      </c>
      <c r="B133" s="8">
        <f>IF(calibration_fit!B13="","",calibration_fit!B13)</f>
        <v/>
      </c>
      <c r="C133" s="8">
        <f>IF(calibration_fit!C13="","",calibration_fit!C13)</f>
        <v/>
      </c>
      <c r="D133" s="8">
        <f>IF(calibration_fit!D13="","",calibration_fit!D13)</f>
        <v/>
      </c>
      <c r="E133" s="8">
        <f>IF(calibration_fit!E13="","",calibration_fit!E13)</f>
        <v/>
      </c>
      <c r="F133" s="10">
        <f>IF(calibration_fit!F13="","",calibration_fit!F13)</f>
        <v/>
      </c>
      <c r="G133">
        <f>IF(calibration_fit!G13="","",calibration_fit!G13)</f>
        <v/>
      </c>
      <c r="H133">
        <f>IF(calibration_fit!H13="","",calibration_fit!H13)</f>
        <v/>
      </c>
    </row>
    <row r="134">
      <c r="A134">
        <f>IF(calibration_fit!A14="","",calibration_fit!A14)</f>
        <v/>
      </c>
      <c r="B134" s="8">
        <f>IF(calibration_fit!B14="","",calibration_fit!B14)</f>
        <v/>
      </c>
      <c r="C134" s="8">
        <f>IF(calibration_fit!C14="","",calibration_fit!C14)</f>
        <v/>
      </c>
      <c r="D134" s="8">
        <f>IF(calibration_fit!D14="","",calibration_fit!D14)</f>
        <v/>
      </c>
      <c r="E134" s="8">
        <f>IF(calibration_fit!E14="","",calibration_fit!E14)</f>
        <v/>
      </c>
      <c r="F134" s="10">
        <f>IF(calibration_fit!F14="","",calibration_fit!F14)</f>
        <v/>
      </c>
      <c r="G134">
        <f>IF(calibration_fit!G14="","",calibration_fit!G14)</f>
        <v/>
      </c>
      <c r="H134">
        <f>IF(calibration_fit!H14="","",calibration_fit!H14)</f>
        <v/>
      </c>
    </row>
    <row r="135">
      <c r="A135">
        <f>IF(calibration_fit!A15="","",calibration_fit!A15)</f>
        <v/>
      </c>
      <c r="B135" s="8">
        <f>IF(calibration_fit!B15="","",calibration_fit!B15)</f>
        <v/>
      </c>
      <c r="C135" s="8">
        <f>IF(calibration_fit!C15="","",calibration_fit!C15)</f>
        <v/>
      </c>
      <c r="D135" s="8">
        <f>IF(calibration_fit!D15="","",calibration_fit!D15)</f>
        <v/>
      </c>
      <c r="E135" s="8">
        <f>IF(calibration_fit!E15="","",calibration_fit!E15)</f>
        <v/>
      </c>
      <c r="F135" s="10">
        <f>IF(calibration_fit!F15="","",calibration_fit!F15)</f>
        <v/>
      </c>
      <c r="G135">
        <f>IF(calibration_fit!G15="","",calibration_fit!G15)</f>
        <v/>
      </c>
      <c r="H135">
        <f>IF(calibration_fit!H15="","",calibration_fit!H15)</f>
        <v/>
      </c>
    </row>
    <row r="136">
      <c r="A136">
        <f>IF(calibration_fit!A16="","",calibration_fit!A16)</f>
        <v/>
      </c>
      <c r="B136" s="8">
        <f>IF(calibration_fit!B16="","",calibration_fit!B16)</f>
        <v/>
      </c>
      <c r="C136" s="8">
        <f>IF(calibration_fit!C16="","",calibration_fit!C16)</f>
        <v/>
      </c>
      <c r="D136" s="8">
        <f>IF(calibration_fit!D16="","",calibration_fit!D16)</f>
        <v/>
      </c>
      <c r="E136" s="8">
        <f>IF(calibration_fit!E16="","",calibration_fit!E16)</f>
        <v/>
      </c>
      <c r="F136" s="10">
        <f>IF(calibration_fit!F16="","",calibration_fit!F16)</f>
        <v/>
      </c>
      <c r="G136">
        <f>IF(calibration_fit!G16="","",calibration_fit!G16)</f>
        <v/>
      </c>
      <c r="H136">
        <f>IF(calibration_fit!H16="","",calibration_fit!H16)</f>
        <v/>
      </c>
    </row>
    <row r="137">
      <c r="A137">
        <f>IF(calibration_fit!A17="","",calibration_fit!A17)</f>
        <v/>
      </c>
      <c r="B137" s="8">
        <f>IF(calibration_fit!B17="","",calibration_fit!B17)</f>
        <v/>
      </c>
      <c r="C137" s="8">
        <f>IF(calibration_fit!C17="","",calibration_fit!C17)</f>
        <v/>
      </c>
      <c r="D137" s="8">
        <f>IF(calibration_fit!D17="","",calibration_fit!D17)</f>
        <v/>
      </c>
      <c r="E137" s="8">
        <f>IF(calibration_fit!E17="","",calibration_fit!E17)</f>
        <v/>
      </c>
      <c r="F137" s="10">
        <f>IF(calibration_fit!F17="","",calibration_fit!F17)</f>
        <v/>
      </c>
      <c r="G137">
        <f>IF(calibration_fit!G17="","",calibration_fit!G17)</f>
        <v/>
      </c>
      <c r="H137">
        <f>IF(calibration_fit!H17="","",calibration_fit!H17)</f>
        <v/>
      </c>
    </row>
    <row r="138">
      <c r="A138">
        <f>IF(calibration_fit!A18="","",calibration_fit!A18)</f>
        <v/>
      </c>
      <c r="B138" s="8">
        <f>IF(calibration_fit!B18="","",calibration_fit!B18)</f>
        <v/>
      </c>
      <c r="C138" s="8">
        <f>IF(calibration_fit!C18="","",calibration_fit!C18)</f>
        <v/>
      </c>
      <c r="D138" s="8">
        <f>IF(calibration_fit!D18="","",calibration_fit!D18)</f>
        <v/>
      </c>
      <c r="E138" s="8">
        <f>IF(calibration_fit!E18="","",calibration_fit!E18)</f>
        <v/>
      </c>
      <c r="F138" s="10">
        <f>IF(calibration_fit!F18="","",calibration_fit!F18)</f>
        <v/>
      </c>
      <c r="G138">
        <f>IF(calibration_fit!G18="","",calibration_fit!G18)</f>
        <v/>
      </c>
      <c r="H138">
        <f>IF(calibration_fit!H18="","",calibration_fit!H18)</f>
        <v/>
      </c>
    </row>
    <row r="139">
      <c r="A139">
        <f>IF(calibration_fit!A19="","",calibration_fit!A19)</f>
        <v/>
      </c>
      <c r="B139" s="8">
        <f>IF(calibration_fit!B19="","",calibration_fit!B19)</f>
        <v/>
      </c>
      <c r="C139" s="8">
        <f>IF(calibration_fit!C19="","",calibration_fit!C19)</f>
        <v/>
      </c>
      <c r="D139" s="8">
        <f>IF(calibration_fit!D19="","",calibration_fit!D19)</f>
        <v/>
      </c>
      <c r="E139" s="8">
        <f>IF(calibration_fit!E19="","",calibration_fit!E19)</f>
        <v/>
      </c>
      <c r="F139" s="10">
        <f>IF(calibration_fit!F19="","",calibration_fit!F19)</f>
        <v/>
      </c>
      <c r="G139">
        <f>IF(calibration_fit!G19="","",calibration_fit!G19)</f>
        <v/>
      </c>
      <c r="H139">
        <f>IF(calibration_fit!H19="","",calibration_fit!H19)</f>
        <v/>
      </c>
    </row>
    <row r="140">
      <c r="A140">
        <f>IF(calibration_fit!A20="","",calibration_fit!A20)</f>
        <v/>
      </c>
      <c r="B140" s="8">
        <f>IF(calibration_fit!B20="","",calibration_fit!B20)</f>
        <v/>
      </c>
      <c r="C140" s="8">
        <f>IF(calibration_fit!C20="","",calibration_fit!C20)</f>
        <v/>
      </c>
      <c r="D140" s="8">
        <f>IF(calibration_fit!D20="","",calibration_fit!D20)</f>
        <v/>
      </c>
      <c r="E140" s="8">
        <f>IF(calibration_fit!E20="","",calibration_fit!E20)</f>
        <v/>
      </c>
      <c r="F140" s="10">
        <f>IF(calibration_fit!F20="","",calibration_fit!F20)</f>
        <v/>
      </c>
      <c r="G140">
        <f>IF(calibration_fit!G20="","",calibration_fit!G20)</f>
        <v/>
      </c>
      <c r="H140">
        <f>IF(calibration_fit!H20="","",calibration_fit!H20)</f>
        <v/>
      </c>
    </row>
    <row r="141">
      <c r="A141">
        <f>IF(calibration_fit!A21="","",calibration_fit!A21)</f>
        <v/>
      </c>
      <c r="B141" s="8">
        <f>IF(calibration_fit!B21="","",calibration_fit!B21)</f>
        <v/>
      </c>
      <c r="C141" s="8">
        <f>IF(calibration_fit!C21="","",calibration_fit!C21)</f>
        <v/>
      </c>
      <c r="D141" s="8">
        <f>IF(calibration_fit!D21="","",calibration_fit!D21)</f>
        <v/>
      </c>
      <c r="E141" s="8">
        <f>IF(calibration_fit!E21="","",calibration_fit!E21)</f>
        <v/>
      </c>
      <c r="F141" s="10">
        <f>IF(calibration_fit!F21="","",calibration_fit!F21)</f>
        <v/>
      </c>
      <c r="G141">
        <f>IF(calibration_fit!G21="","",calibration_fit!G21)</f>
        <v/>
      </c>
      <c r="H141">
        <f>IF(calibration_fit!H21="","",calibration_fit!H21)</f>
        <v/>
      </c>
    </row>
    <row r="142">
      <c r="A142">
        <f>IF(calibration_fit!A22="","",calibration_fit!A22)</f>
        <v/>
      </c>
      <c r="B142" s="8">
        <f>IF(calibration_fit!B22="","",calibration_fit!B22)</f>
        <v/>
      </c>
      <c r="C142" s="8">
        <f>IF(calibration_fit!C22="","",calibration_fit!C22)</f>
        <v/>
      </c>
      <c r="D142" s="8">
        <f>IF(calibration_fit!D22="","",calibration_fit!D22)</f>
        <v/>
      </c>
      <c r="E142" s="8">
        <f>IF(calibration_fit!E22="","",calibration_fit!E22)</f>
        <v/>
      </c>
      <c r="F142" s="10">
        <f>IF(calibration_fit!F22="","",calibration_fit!F22)</f>
        <v/>
      </c>
      <c r="G142">
        <f>IF(calibration_fit!G22="","",calibration_fit!G22)</f>
        <v/>
      </c>
      <c r="H142">
        <f>IF(calibration_fit!H22="","",calibration_fit!H22)</f>
        <v/>
      </c>
    </row>
    <row r="143">
      <c r="A143">
        <f>IF(calibration_fit!A23="","",calibration_fit!A23)</f>
        <v/>
      </c>
      <c r="B143" s="8">
        <f>IF(calibration_fit!B23="","",calibration_fit!B23)</f>
        <v/>
      </c>
      <c r="C143" s="8">
        <f>IF(calibration_fit!C23="","",calibration_fit!C23)</f>
        <v/>
      </c>
      <c r="D143" s="8">
        <f>IF(calibration_fit!D23="","",calibration_fit!D23)</f>
        <v/>
      </c>
      <c r="E143" s="8">
        <f>IF(calibration_fit!E23="","",calibration_fit!E23)</f>
        <v/>
      </c>
      <c r="F143" s="10">
        <f>IF(calibration_fit!F23="","",calibration_fit!F23)</f>
        <v/>
      </c>
      <c r="G143">
        <f>IF(calibration_fit!G23="","",calibration_fit!G23)</f>
        <v/>
      </c>
      <c r="H143">
        <f>IF(calibration_fit!H23="","",calibration_fit!H23)</f>
        <v/>
      </c>
    </row>
    <row r="144">
      <c r="A144">
        <f>IF(calibration_fit!A24="","",calibration_fit!A24)</f>
        <v/>
      </c>
      <c r="B144" s="8">
        <f>IF(calibration_fit!B24="","",calibration_fit!B24)</f>
        <v/>
      </c>
      <c r="C144" s="8">
        <f>IF(calibration_fit!C24="","",calibration_fit!C24)</f>
        <v/>
      </c>
      <c r="D144" s="8">
        <f>IF(calibration_fit!D24="","",calibration_fit!D24)</f>
        <v/>
      </c>
      <c r="E144" s="8">
        <f>IF(calibration_fit!E24="","",calibration_fit!E24)</f>
        <v/>
      </c>
      <c r="F144" s="10">
        <f>IF(calibration_fit!F24="","",calibration_fit!F24)</f>
        <v/>
      </c>
      <c r="G144">
        <f>IF(calibration_fit!G24="","",calibration_fit!G24)</f>
        <v/>
      </c>
      <c r="H144">
        <f>IF(calibration_fit!H24="","",calibration_fit!H24)</f>
        <v/>
      </c>
    </row>
    <row r="145">
      <c r="A145">
        <f>IF(calibration_fit!A25="","",calibration_fit!A25)</f>
        <v/>
      </c>
      <c r="B145" s="8">
        <f>IF(calibration_fit!B25="","",calibration_fit!B25)</f>
        <v/>
      </c>
      <c r="C145" s="8">
        <f>IF(calibration_fit!C25="","",calibration_fit!C25)</f>
        <v/>
      </c>
      <c r="D145" s="8">
        <f>IF(calibration_fit!D25="","",calibration_fit!D25)</f>
        <v/>
      </c>
      <c r="E145" s="8">
        <f>IF(calibration_fit!E25="","",calibration_fit!E25)</f>
        <v/>
      </c>
      <c r="F145" s="10">
        <f>IF(calibration_fit!F25="","",calibration_fit!F25)</f>
        <v/>
      </c>
      <c r="G145">
        <f>IF(calibration_fit!G25="","",calibration_fit!G25)</f>
        <v/>
      </c>
      <c r="H145">
        <f>IF(calibration_fit!H25="","",calibration_fit!H25)</f>
        <v/>
      </c>
    </row>
    <row r="146">
      <c r="A146">
        <f>IF(calibration_fit!A26="","",calibration_fit!A26)</f>
        <v/>
      </c>
      <c r="B146" s="8">
        <f>IF(calibration_fit!B26="","",calibration_fit!B26)</f>
        <v/>
      </c>
      <c r="C146" s="8">
        <f>IF(calibration_fit!C26="","",calibration_fit!C26)</f>
        <v/>
      </c>
      <c r="D146" s="8">
        <f>IF(calibration_fit!D26="","",calibration_fit!D26)</f>
        <v/>
      </c>
      <c r="E146" s="8">
        <f>IF(calibration_fit!E26="","",calibration_fit!E26)</f>
        <v/>
      </c>
      <c r="F146" s="10">
        <f>IF(calibration_fit!F26="","",calibration_fit!F26)</f>
        <v/>
      </c>
      <c r="G146">
        <f>IF(calibration_fit!G26="","",calibration_fit!G26)</f>
        <v/>
      </c>
      <c r="H146">
        <f>IF(calibration_fit!H26="","",calibration_fit!H26)</f>
        <v/>
      </c>
    </row>
    <row r="147">
      <c r="A147">
        <f>IF(calibration_fit!A27="","",calibration_fit!A27)</f>
        <v/>
      </c>
      <c r="B147" s="8">
        <f>IF(calibration_fit!B27="","",calibration_fit!B27)</f>
        <v/>
      </c>
      <c r="C147" s="8">
        <f>IF(calibration_fit!C27="","",calibration_fit!C27)</f>
        <v/>
      </c>
      <c r="D147" s="8">
        <f>IF(calibration_fit!D27="","",calibration_fit!D27)</f>
        <v/>
      </c>
      <c r="E147" s="8">
        <f>IF(calibration_fit!E27="","",calibration_fit!E27)</f>
        <v/>
      </c>
      <c r="F147" s="10">
        <f>IF(calibration_fit!F27="","",calibration_fit!F27)</f>
        <v/>
      </c>
      <c r="G147">
        <f>IF(calibration_fit!G27="","",calibration_fit!G27)</f>
        <v/>
      </c>
      <c r="H147">
        <f>IF(calibration_fit!H27="","",calibration_fit!H27)</f>
        <v/>
      </c>
    </row>
    <row r="148">
      <c r="A148">
        <f>IF(calibration_fit!A28="","",calibration_fit!A28)</f>
        <v/>
      </c>
      <c r="B148" s="8">
        <f>IF(calibration_fit!B28="","",calibration_fit!B28)</f>
        <v/>
      </c>
      <c r="C148" s="8">
        <f>IF(calibration_fit!C28="","",calibration_fit!C28)</f>
        <v/>
      </c>
      <c r="D148" s="8">
        <f>IF(calibration_fit!D28="","",calibration_fit!D28)</f>
        <v/>
      </c>
      <c r="E148" s="8">
        <f>IF(calibration_fit!E28="","",calibration_fit!E28)</f>
        <v/>
      </c>
      <c r="F148" s="10">
        <f>IF(calibration_fit!F28="","",calibration_fit!F28)</f>
        <v/>
      </c>
      <c r="G148">
        <f>IF(calibration_fit!G28="","",calibration_fit!G28)</f>
        <v/>
      </c>
      <c r="H148">
        <f>IF(calibration_fit!H28="","",calibration_fit!H28)</f>
        <v/>
      </c>
    </row>
    <row r="149">
      <c r="A149">
        <f>IF(calibration_fit!A29="","",calibration_fit!A29)</f>
        <v/>
      </c>
      <c r="B149" s="8">
        <f>IF(calibration_fit!B29="","",calibration_fit!B29)</f>
        <v/>
      </c>
      <c r="C149" s="8">
        <f>IF(calibration_fit!C29="","",calibration_fit!C29)</f>
        <v/>
      </c>
      <c r="D149" s="8">
        <f>IF(calibration_fit!D29="","",calibration_fit!D29)</f>
        <v/>
      </c>
      <c r="E149" s="8">
        <f>IF(calibration_fit!E29="","",calibration_fit!E29)</f>
        <v/>
      </c>
      <c r="F149" s="10">
        <f>IF(calibration_fit!F29="","",calibration_fit!F29)</f>
        <v/>
      </c>
      <c r="G149">
        <f>IF(calibration_fit!G29="","",calibration_fit!G29)</f>
        <v/>
      </c>
      <c r="H149">
        <f>IF(calibration_fit!H29="","",calibration_fit!H29)</f>
        <v/>
      </c>
    </row>
    <row r="150">
      <c r="A150">
        <f>IF(calibration_fit!A30="","",calibration_fit!A30)</f>
        <v/>
      </c>
      <c r="B150" s="8">
        <f>IF(calibration_fit!B30="","",calibration_fit!B30)</f>
        <v/>
      </c>
      <c r="C150" s="8">
        <f>IF(calibration_fit!C30="","",calibration_fit!C30)</f>
        <v/>
      </c>
      <c r="D150" s="8">
        <f>IF(calibration_fit!D30="","",calibration_fit!D30)</f>
        <v/>
      </c>
      <c r="E150" s="8">
        <f>IF(calibration_fit!E30="","",calibration_fit!E30)</f>
        <v/>
      </c>
      <c r="F150" s="10">
        <f>IF(calibration_fit!F30="","",calibration_fit!F30)</f>
        <v/>
      </c>
      <c r="G150">
        <f>IF(calibration_fit!G30="","",calibration_fit!G30)</f>
        <v/>
      </c>
      <c r="H150">
        <f>IF(calibration_fit!H30="","",calibration_fit!H30)</f>
        <v/>
      </c>
    </row>
    <row r="151">
      <c r="A151">
        <f>IF(calibration_fit!A31="","",calibration_fit!A31)</f>
        <v/>
      </c>
      <c r="B151" s="8">
        <f>IF(calibration_fit!B31="","",calibration_fit!B31)</f>
        <v/>
      </c>
      <c r="C151" s="8">
        <f>IF(calibration_fit!C31="","",calibration_fit!C31)</f>
        <v/>
      </c>
      <c r="D151" s="8">
        <f>IF(calibration_fit!D31="","",calibration_fit!D31)</f>
        <v/>
      </c>
      <c r="E151" s="8">
        <f>IF(calibration_fit!E31="","",calibration_fit!E31)</f>
        <v/>
      </c>
      <c r="F151" s="10">
        <f>IF(calibration_fit!F31="","",calibration_fit!F31)</f>
        <v/>
      </c>
      <c r="G151">
        <f>IF(calibration_fit!G31="","",calibration_fit!G31)</f>
        <v/>
      </c>
      <c r="H151">
        <f>IF(calibration_fit!H31="","",calibration_fit!H31)</f>
        <v/>
      </c>
    </row>
    <row r="153">
      <c r="A153" s="3" t="inlineStr">
        <is>
          <t>Weights by group (weight_groups.csv)</t>
        </is>
      </c>
    </row>
    <row r="154">
      <c r="A154" s="6" t="inlineStr">
        <is>
          <t>stage</t>
        </is>
      </c>
      <c r="B154" s="6" t="inlineStr">
        <is>
          <t>variable</t>
        </is>
      </c>
      <c r="C154" s="6" t="inlineStr">
        <is>
          <t>group_var</t>
        </is>
      </c>
      <c r="D154" s="6" t="inlineStr">
        <is>
          <t>group</t>
        </is>
      </c>
      <c r="E154" s="6" t="inlineStr">
        <is>
          <t>n</t>
        </is>
      </c>
      <c r="F154" s="6" t="inlineStr">
        <is>
          <t>sum</t>
        </is>
      </c>
      <c r="G154" s="6" t="inlineStr">
        <is>
          <t>mean</t>
        </is>
      </c>
      <c r="H154" s="6" t="inlineStr">
        <is>
          <t>cv</t>
        </is>
      </c>
    </row>
    <row r="155">
      <c r="A155">
        <f>IF(weight_groups!A2="","",weight_groups!A2)</f>
        <v/>
      </c>
      <c r="B155">
        <f>IF(weight_groups!B2="","",weight_groups!B2)</f>
        <v/>
      </c>
      <c r="C155">
        <f>IF(weight_groups!C2="","",weight_groups!C2)</f>
        <v/>
      </c>
      <c r="D155">
        <f>IF(weight_groups!D2="","",weight_groups!D2)</f>
        <v/>
      </c>
      <c r="E155" s="7">
        <f>IF(weight_groups!E2="","",weight_groups!E2)</f>
        <v/>
      </c>
      <c r="F155" s="8">
        <f>IF(weight_groups!F2="","",weight_groups!F2)</f>
        <v/>
      </c>
      <c r="G155" s="8">
        <f>IF(weight_groups!G2="","",weight_groups!G2)</f>
        <v/>
      </c>
      <c r="H155" s="9">
        <f>IF(weight_groups!H2="","",weight_groups!H2)</f>
        <v/>
      </c>
    </row>
    <row r="156">
      <c r="A156">
        <f>IF(weight_groups!A3="","",weight_groups!A3)</f>
        <v/>
      </c>
      <c r="B156">
        <f>IF(weight_groups!B3="","",weight_groups!B3)</f>
        <v/>
      </c>
      <c r="C156">
        <f>IF(weight_groups!C3="","",weight_groups!C3)</f>
        <v/>
      </c>
      <c r="D156">
        <f>IF(weight_groups!D3="","",weight_groups!D3)</f>
        <v/>
      </c>
      <c r="E156" s="7">
        <f>IF(weight_groups!E3="","",weight_groups!E3)</f>
        <v/>
      </c>
      <c r="F156" s="8">
        <f>IF(weight_groups!F3="","",weight_groups!F3)</f>
        <v/>
      </c>
      <c r="G156" s="8">
        <f>IF(weight_groups!G3="","",weight_groups!G3)</f>
        <v/>
      </c>
      <c r="H156" s="9">
        <f>IF(weight_groups!H3="","",weight_groups!H3)</f>
        <v/>
      </c>
    </row>
    <row r="157">
      <c r="A157">
        <f>IF(weight_groups!A4="","",weight_groups!A4)</f>
        <v/>
      </c>
      <c r="B157">
        <f>IF(weight_groups!B4="","",weight_groups!B4)</f>
        <v/>
      </c>
      <c r="C157">
        <f>IF(weight_groups!C4="","",weight_groups!C4)</f>
        <v/>
      </c>
      <c r="D157">
        <f>IF(weight_groups!D4="","",weight_groups!D4)</f>
        <v/>
      </c>
      <c r="E157" s="7">
        <f>IF(weight_groups!E4="","",weight_groups!E4)</f>
        <v/>
      </c>
      <c r="F157" s="8">
        <f>IF(weight_groups!F4="","",weight_groups!F4)</f>
        <v/>
      </c>
      <c r="G157" s="8">
        <f>IF(weight_groups!G4="","",weight_groups!G4)</f>
        <v/>
      </c>
      <c r="H157" s="9">
        <f>IF(weight_groups!H4="","",weight_groups!H4)</f>
        <v/>
      </c>
    </row>
    <row r="158">
      <c r="A158">
        <f>IF(weight_groups!A5="","",weight_groups!A5)</f>
        <v/>
      </c>
      <c r="B158">
        <f>IF(weight_groups!B5="","",weight_groups!B5)</f>
        <v/>
      </c>
      <c r="C158">
        <f>IF(weight_groups!C5="","",weight_groups!C5)</f>
        <v/>
      </c>
      <c r="D158">
        <f>IF(weight_groups!D5="","",weight_groups!D5)</f>
        <v/>
      </c>
      <c r="E158" s="7">
        <f>IF(weight_groups!E5="","",weight_groups!E5)</f>
        <v/>
      </c>
      <c r="F158" s="8">
        <f>IF(weight_groups!F5="","",weight_groups!F5)</f>
        <v/>
      </c>
      <c r="G158" s="8">
        <f>IF(weight_groups!G5="","",weight_groups!G5)</f>
        <v/>
      </c>
      <c r="H158" s="9">
        <f>IF(weight_groups!H5="","",weight_groups!H5)</f>
        <v/>
      </c>
    </row>
    <row r="159">
      <c r="A159">
        <f>IF(weight_groups!A6="","",weight_groups!A6)</f>
        <v/>
      </c>
      <c r="B159">
        <f>IF(weight_groups!B6="","",weight_groups!B6)</f>
        <v/>
      </c>
      <c r="C159">
        <f>IF(weight_groups!C6="","",weight_groups!C6)</f>
        <v/>
      </c>
      <c r="D159">
        <f>IF(weight_groups!D6="","",weight_groups!D6)</f>
        <v/>
      </c>
      <c r="E159" s="7">
        <f>IF(weight_groups!E6="","",weight_groups!E6)</f>
        <v/>
      </c>
      <c r="F159" s="8">
        <f>IF(weight_groups!F6="","",weight_groups!F6)</f>
        <v/>
      </c>
      <c r="G159" s="8">
        <f>IF(weight_groups!G6="","",weight_groups!G6)</f>
        <v/>
      </c>
      <c r="H159" s="9">
        <f>IF(weight_groups!H6="","",weight_groups!H6)</f>
        <v/>
      </c>
    </row>
    <row r="160">
      <c r="A160">
        <f>IF(weight_groups!A7="","",weight_groups!A7)</f>
        <v/>
      </c>
      <c r="B160">
        <f>IF(weight_groups!B7="","",weight_groups!B7)</f>
        <v/>
      </c>
      <c r="C160">
        <f>IF(weight_groups!C7="","",weight_groups!C7)</f>
        <v/>
      </c>
      <c r="D160">
        <f>IF(weight_groups!D7="","",weight_groups!D7)</f>
        <v/>
      </c>
      <c r="E160" s="7">
        <f>IF(weight_groups!E7="","",weight_groups!E7)</f>
        <v/>
      </c>
      <c r="F160" s="8">
        <f>IF(weight_groups!F7="","",weight_groups!F7)</f>
        <v/>
      </c>
      <c r="G160" s="8">
        <f>IF(weight_groups!G7="","",weight_groups!G7)</f>
        <v/>
      </c>
      <c r="H160" s="9">
        <f>IF(weight_groups!H7="","",weight_groups!H7)</f>
        <v/>
      </c>
    </row>
    <row r="161">
      <c r="A161">
        <f>IF(weight_groups!A8="","",weight_groups!A8)</f>
        <v/>
      </c>
      <c r="B161">
        <f>IF(weight_groups!B8="","",weight_groups!B8)</f>
        <v/>
      </c>
      <c r="C161">
        <f>IF(weight_groups!C8="","",weight_groups!C8)</f>
        <v/>
      </c>
      <c r="D161">
        <f>IF(weight_groups!D8="","",weight_groups!D8)</f>
        <v/>
      </c>
      <c r="E161" s="7">
        <f>IF(weight_groups!E8="","",weight_groups!E8)</f>
        <v/>
      </c>
      <c r="F161" s="8">
        <f>IF(weight_groups!F8="","",weight_groups!F8)</f>
        <v/>
      </c>
      <c r="G161" s="8">
        <f>IF(weight_groups!G8="","",weight_groups!G8)</f>
        <v/>
      </c>
      <c r="H161" s="9">
        <f>IF(weight_groups!H8="","",weight_groups!H8)</f>
        <v/>
      </c>
    </row>
    <row r="162">
      <c r="A162">
        <f>IF(weight_groups!A9="","",weight_groups!A9)</f>
        <v/>
      </c>
      <c r="B162">
        <f>IF(weight_groups!B9="","",weight_groups!B9)</f>
        <v/>
      </c>
      <c r="C162">
        <f>IF(weight_groups!C9="","",weight_groups!C9)</f>
        <v/>
      </c>
      <c r="D162">
        <f>IF(weight_groups!D9="","",weight_groups!D9)</f>
        <v/>
      </c>
      <c r="E162" s="7">
        <f>IF(weight_groups!E9="","",weight_groups!E9)</f>
        <v/>
      </c>
      <c r="F162" s="8">
        <f>IF(weight_groups!F9="","",weight_groups!F9)</f>
        <v/>
      </c>
      <c r="G162" s="8">
        <f>IF(weight_groups!G9="","",weight_groups!G9)</f>
        <v/>
      </c>
      <c r="H162" s="9">
        <f>IF(weight_groups!H9="","",weight_groups!H9)</f>
        <v/>
      </c>
    </row>
    <row r="163">
      <c r="A163">
        <f>IF(weight_groups!A10="","",weight_groups!A10)</f>
        <v/>
      </c>
      <c r="B163">
        <f>IF(weight_groups!B10="","",weight_groups!B10)</f>
        <v/>
      </c>
      <c r="C163">
        <f>IF(weight_groups!C10="","",weight_groups!C10)</f>
        <v/>
      </c>
      <c r="D163">
        <f>IF(weight_groups!D10="","",weight_groups!D10)</f>
        <v/>
      </c>
      <c r="E163" s="7">
        <f>IF(weight_groups!E10="","",weight_groups!E10)</f>
        <v/>
      </c>
      <c r="F163" s="8">
        <f>IF(weight_groups!F10="","",weight_groups!F10)</f>
        <v/>
      </c>
      <c r="G163" s="8">
        <f>IF(weight_groups!G10="","",weight_groups!G10)</f>
        <v/>
      </c>
      <c r="H163" s="9">
        <f>IF(weight_groups!H10="","",weight_groups!H10)</f>
        <v/>
      </c>
    </row>
    <row r="164">
      <c r="A164">
        <f>IF(weight_groups!A11="","",weight_groups!A11)</f>
        <v/>
      </c>
      <c r="B164">
        <f>IF(weight_groups!B11="","",weight_groups!B11)</f>
        <v/>
      </c>
      <c r="C164">
        <f>IF(weight_groups!C11="","",weight_groups!C11)</f>
        <v/>
      </c>
      <c r="D164">
        <f>IF(weight_groups!D11="","",weight_groups!D11)</f>
        <v/>
      </c>
      <c r="E164" s="7">
        <f>IF(weight_groups!E11="","",weight_groups!E11)</f>
        <v/>
      </c>
      <c r="F164" s="8">
        <f>IF(weight_groups!F11="","",weight_groups!F11)</f>
        <v/>
      </c>
      <c r="G164" s="8">
        <f>IF(weight_groups!G11="","",weight_groups!G11)</f>
        <v/>
      </c>
      <c r="H164" s="9">
        <f>IF(weight_groups!H11="","",weight_groups!H11)</f>
        <v/>
      </c>
    </row>
    <row r="165">
      <c r="A165">
        <f>IF(weight_groups!A12="","",weight_groups!A12)</f>
        <v/>
      </c>
      <c r="B165">
        <f>IF(weight_groups!B12="","",weight_groups!B12)</f>
        <v/>
      </c>
      <c r="C165">
        <f>IF(weight_groups!C12="","",weight_groups!C12)</f>
        <v/>
      </c>
      <c r="D165">
        <f>IF(weight_groups!D12="","",weight_groups!D12)</f>
        <v/>
      </c>
      <c r="E165" s="7">
        <f>IF(weight_groups!E12="","",weight_groups!E12)</f>
        <v/>
      </c>
      <c r="F165" s="8">
        <f>IF(weight_groups!F12="","",weight_groups!F12)</f>
        <v/>
      </c>
      <c r="G165" s="8">
        <f>IF(weight_groups!G12="","",weight_groups!G12)</f>
        <v/>
      </c>
      <c r="H165" s="9">
        <f>IF(weight_groups!H12="","",weight_groups!H12)</f>
        <v/>
      </c>
    </row>
    <row r="166">
      <c r="A166">
        <f>IF(weight_groups!A13="","",weight_groups!A13)</f>
        <v/>
      </c>
      <c r="B166">
        <f>IF(weight_groups!B13="","",weight_groups!B13)</f>
        <v/>
      </c>
      <c r="C166">
        <f>IF(weight_groups!C13="","",weight_groups!C13)</f>
        <v/>
      </c>
      <c r="D166">
        <f>IF(weight_groups!D13="","",weight_groups!D13)</f>
        <v/>
      </c>
      <c r="E166" s="7">
        <f>IF(weight_groups!E13="","",weight_groups!E13)</f>
        <v/>
      </c>
      <c r="F166" s="8">
        <f>IF(weight_groups!F13="","",weight_groups!F13)</f>
        <v/>
      </c>
      <c r="G166" s="8">
        <f>IF(weight_groups!G13="","",weight_groups!G13)</f>
        <v/>
      </c>
      <c r="H166" s="9">
        <f>IF(weight_groups!H13="","",weight_groups!H13)</f>
        <v/>
      </c>
    </row>
    <row r="167">
      <c r="A167">
        <f>IF(weight_groups!A14="","",weight_groups!A14)</f>
        <v/>
      </c>
      <c r="B167">
        <f>IF(weight_groups!B14="","",weight_groups!B14)</f>
        <v/>
      </c>
      <c r="C167">
        <f>IF(weight_groups!C14="","",weight_groups!C14)</f>
        <v/>
      </c>
      <c r="D167">
        <f>IF(weight_groups!D14="","",weight_groups!D14)</f>
        <v/>
      </c>
      <c r="E167" s="7">
        <f>IF(weight_groups!E14="","",weight_groups!E14)</f>
        <v/>
      </c>
      <c r="F167" s="8">
        <f>IF(weight_groups!F14="","",weight_groups!F14)</f>
        <v/>
      </c>
      <c r="G167" s="8">
        <f>IF(weight_groups!G14="","",weight_groups!G14)</f>
        <v/>
      </c>
      <c r="H167" s="9">
        <f>IF(weight_groups!H14="","",weight_groups!H14)</f>
        <v/>
      </c>
    </row>
    <row r="168">
      <c r="A168">
        <f>IF(weight_groups!A15="","",weight_groups!A15)</f>
        <v/>
      </c>
      <c r="B168">
        <f>IF(weight_groups!B15="","",weight_groups!B15)</f>
        <v/>
      </c>
      <c r="C168">
        <f>IF(weight_groups!C15="","",weight_groups!C15)</f>
        <v/>
      </c>
      <c r="D168">
        <f>IF(weight_groups!D15="","",weight_groups!D15)</f>
        <v/>
      </c>
      <c r="E168" s="7">
        <f>IF(weight_groups!E15="","",weight_groups!E15)</f>
        <v/>
      </c>
      <c r="F168" s="8">
        <f>IF(weight_groups!F15="","",weight_groups!F15)</f>
        <v/>
      </c>
      <c r="G168" s="8">
        <f>IF(weight_groups!G15="","",weight_groups!G15)</f>
        <v/>
      </c>
      <c r="H168" s="9">
        <f>IF(weight_groups!H15="","",weight_groups!H15)</f>
        <v/>
      </c>
    </row>
    <row r="169">
      <c r="A169">
        <f>IF(weight_groups!A16="","",weight_groups!A16)</f>
        <v/>
      </c>
      <c r="B169">
        <f>IF(weight_groups!B16="","",weight_groups!B16)</f>
        <v/>
      </c>
      <c r="C169">
        <f>IF(weight_groups!C16="","",weight_groups!C16)</f>
        <v/>
      </c>
      <c r="D169">
        <f>IF(weight_groups!D16="","",weight_groups!D16)</f>
        <v/>
      </c>
      <c r="E169" s="7">
        <f>IF(weight_groups!E16="","",weight_groups!E16)</f>
        <v/>
      </c>
      <c r="F169" s="8">
        <f>IF(weight_groups!F16="","",weight_groups!F16)</f>
        <v/>
      </c>
      <c r="G169" s="8">
        <f>IF(weight_groups!G16="","",weight_groups!G16)</f>
        <v/>
      </c>
      <c r="H169" s="9">
        <f>IF(weight_groups!H16="","",weight_groups!H16)</f>
        <v/>
      </c>
    </row>
    <row r="170">
      <c r="A170">
        <f>IF(weight_groups!A17="","",weight_groups!A17)</f>
        <v/>
      </c>
      <c r="B170">
        <f>IF(weight_groups!B17="","",weight_groups!B17)</f>
        <v/>
      </c>
      <c r="C170">
        <f>IF(weight_groups!C17="","",weight_groups!C17)</f>
        <v/>
      </c>
      <c r="D170">
        <f>IF(weight_groups!D17="","",weight_groups!D17)</f>
        <v/>
      </c>
      <c r="E170" s="7">
        <f>IF(weight_groups!E17="","",weight_groups!E17)</f>
        <v/>
      </c>
      <c r="F170" s="8">
        <f>IF(weight_groups!F17="","",weight_groups!F17)</f>
        <v/>
      </c>
      <c r="G170" s="8">
        <f>IF(weight_groups!G17="","",weight_groups!G17)</f>
        <v/>
      </c>
      <c r="H170" s="9">
        <f>IF(weight_groups!H17="","",weight_groups!H17)</f>
        <v/>
      </c>
    </row>
    <row r="171">
      <c r="A171">
        <f>IF(weight_groups!A18="","",weight_groups!A18)</f>
        <v/>
      </c>
      <c r="B171">
        <f>IF(weight_groups!B18="","",weight_groups!B18)</f>
        <v/>
      </c>
      <c r="C171">
        <f>IF(weight_groups!C18="","",weight_groups!C18)</f>
        <v/>
      </c>
      <c r="D171">
        <f>IF(weight_groups!D18="","",weight_groups!D18)</f>
        <v/>
      </c>
      <c r="E171" s="7">
        <f>IF(weight_groups!E18="","",weight_groups!E18)</f>
        <v/>
      </c>
      <c r="F171" s="8">
        <f>IF(weight_groups!F18="","",weight_groups!F18)</f>
        <v/>
      </c>
      <c r="G171" s="8">
        <f>IF(weight_groups!G18="","",weight_groups!G18)</f>
        <v/>
      </c>
      <c r="H171" s="9">
        <f>IF(weight_groups!H18="","",weight_groups!H18)</f>
        <v/>
      </c>
    </row>
    <row r="172">
      <c r="A172">
        <f>IF(weight_groups!A19="","",weight_groups!A19)</f>
        <v/>
      </c>
      <c r="B172">
        <f>IF(weight_groups!B19="","",weight_groups!B19)</f>
        <v/>
      </c>
      <c r="C172">
        <f>IF(weight_groups!C19="","",weight_groups!C19)</f>
        <v/>
      </c>
      <c r="D172">
        <f>IF(weight_groups!D19="","",weight_groups!D19)</f>
        <v/>
      </c>
      <c r="E172" s="7">
        <f>IF(weight_groups!E19="","",weight_groups!E19)</f>
        <v/>
      </c>
      <c r="F172" s="8">
        <f>IF(weight_groups!F19="","",weight_groups!F19)</f>
        <v/>
      </c>
      <c r="G172" s="8">
        <f>IF(weight_groups!G19="","",weight_groups!G19)</f>
        <v/>
      </c>
      <c r="H172" s="9">
        <f>IF(weight_groups!H19="","",weight_groups!H19)</f>
        <v/>
      </c>
    </row>
    <row r="173">
      <c r="A173">
        <f>IF(weight_groups!A20="","",weight_groups!A20)</f>
        <v/>
      </c>
      <c r="B173">
        <f>IF(weight_groups!B20="","",weight_groups!B20)</f>
        <v/>
      </c>
      <c r="C173">
        <f>IF(weight_groups!C20="","",weight_groups!C20)</f>
        <v/>
      </c>
      <c r="D173">
        <f>IF(weight_groups!D20="","",weight_groups!D20)</f>
        <v/>
      </c>
      <c r="E173" s="7">
        <f>IF(weight_groups!E20="","",weight_groups!E20)</f>
        <v/>
      </c>
      <c r="F173" s="8">
        <f>IF(weight_groups!F20="","",weight_groups!F20)</f>
        <v/>
      </c>
      <c r="G173" s="8">
        <f>IF(weight_groups!G20="","",weight_groups!G20)</f>
        <v/>
      </c>
      <c r="H173" s="9">
        <f>IF(weight_groups!H20="","",weight_groups!H20)</f>
        <v/>
      </c>
    </row>
    <row r="174">
      <c r="A174">
        <f>IF(weight_groups!A21="","",weight_groups!A21)</f>
        <v/>
      </c>
      <c r="B174">
        <f>IF(weight_groups!B21="","",weight_groups!B21)</f>
        <v/>
      </c>
      <c r="C174">
        <f>IF(weight_groups!C21="","",weight_groups!C21)</f>
        <v/>
      </c>
      <c r="D174">
        <f>IF(weight_groups!D21="","",weight_groups!D21)</f>
        <v/>
      </c>
      <c r="E174" s="7">
        <f>IF(weight_groups!E21="","",weight_groups!E21)</f>
        <v/>
      </c>
      <c r="F174" s="8">
        <f>IF(weight_groups!F21="","",weight_groups!F21)</f>
        <v/>
      </c>
      <c r="G174" s="8">
        <f>IF(weight_groups!G21="","",weight_groups!G21)</f>
        <v/>
      </c>
      <c r="H174" s="9">
        <f>IF(weight_groups!H21="","",weight_groups!H21)</f>
        <v/>
      </c>
    </row>
    <row r="175">
      <c r="A175">
        <f>IF(weight_groups!A22="","",weight_groups!A22)</f>
        <v/>
      </c>
      <c r="B175">
        <f>IF(weight_groups!B22="","",weight_groups!B22)</f>
        <v/>
      </c>
      <c r="C175">
        <f>IF(weight_groups!C22="","",weight_groups!C22)</f>
        <v/>
      </c>
      <c r="D175">
        <f>IF(weight_groups!D22="","",weight_groups!D22)</f>
        <v/>
      </c>
      <c r="E175" s="7">
        <f>IF(weight_groups!E22="","",weight_groups!E22)</f>
        <v/>
      </c>
      <c r="F175" s="8">
        <f>IF(weight_groups!F22="","",weight_groups!F22)</f>
        <v/>
      </c>
      <c r="G175" s="8">
        <f>IF(weight_groups!G22="","",weight_groups!G22)</f>
        <v/>
      </c>
      <c r="H175" s="9">
        <f>IF(weight_groups!H22="","",weight_groups!H22)</f>
        <v/>
      </c>
    </row>
    <row r="176">
      <c r="A176">
        <f>IF(weight_groups!A23="","",weight_groups!A23)</f>
        <v/>
      </c>
      <c r="B176">
        <f>IF(weight_groups!B23="","",weight_groups!B23)</f>
        <v/>
      </c>
      <c r="C176">
        <f>IF(weight_groups!C23="","",weight_groups!C23)</f>
        <v/>
      </c>
      <c r="D176">
        <f>IF(weight_groups!D23="","",weight_groups!D23)</f>
        <v/>
      </c>
      <c r="E176" s="7">
        <f>IF(weight_groups!E23="","",weight_groups!E23)</f>
        <v/>
      </c>
      <c r="F176" s="8">
        <f>IF(weight_groups!F23="","",weight_groups!F23)</f>
        <v/>
      </c>
      <c r="G176" s="8">
        <f>IF(weight_groups!G23="","",weight_groups!G23)</f>
        <v/>
      </c>
      <c r="H176" s="9">
        <f>IF(weight_groups!H23="","",weight_groups!H23)</f>
        <v/>
      </c>
    </row>
    <row r="177">
      <c r="A177">
        <f>IF(weight_groups!A24="","",weight_groups!A24)</f>
        <v/>
      </c>
      <c r="B177">
        <f>IF(weight_groups!B24="","",weight_groups!B24)</f>
        <v/>
      </c>
      <c r="C177">
        <f>IF(weight_groups!C24="","",weight_groups!C24)</f>
        <v/>
      </c>
      <c r="D177">
        <f>IF(weight_groups!D24="","",weight_groups!D24)</f>
        <v/>
      </c>
      <c r="E177" s="7">
        <f>IF(weight_groups!E24="","",weight_groups!E24)</f>
        <v/>
      </c>
      <c r="F177" s="8">
        <f>IF(weight_groups!F24="","",weight_groups!F24)</f>
        <v/>
      </c>
      <c r="G177" s="8">
        <f>IF(weight_groups!G24="","",weight_groups!G24)</f>
        <v/>
      </c>
      <c r="H177" s="9">
        <f>IF(weight_groups!H24="","",weight_groups!H24)</f>
        <v/>
      </c>
    </row>
    <row r="178">
      <c r="A178">
        <f>IF(weight_groups!A25="","",weight_groups!A25)</f>
        <v/>
      </c>
      <c r="B178">
        <f>IF(weight_groups!B25="","",weight_groups!B25)</f>
        <v/>
      </c>
      <c r="C178">
        <f>IF(weight_groups!C25="","",weight_groups!C25)</f>
        <v/>
      </c>
      <c r="D178">
        <f>IF(weight_groups!D25="","",weight_groups!D25)</f>
        <v/>
      </c>
      <c r="E178" s="7">
        <f>IF(weight_groups!E25="","",weight_groups!E25)</f>
        <v/>
      </c>
      <c r="F178" s="8">
        <f>IF(weight_groups!F25="","",weight_groups!F25)</f>
        <v/>
      </c>
      <c r="G178" s="8">
        <f>IF(weight_groups!G25="","",weight_groups!G25)</f>
        <v/>
      </c>
      <c r="H178" s="9">
        <f>IF(weight_groups!H25="","",weight_groups!H25)</f>
        <v/>
      </c>
    </row>
    <row r="179">
      <c r="A179">
        <f>IF(weight_groups!A26="","",weight_groups!A26)</f>
        <v/>
      </c>
      <c r="B179">
        <f>IF(weight_groups!B26="","",weight_groups!B26)</f>
        <v/>
      </c>
      <c r="C179">
        <f>IF(weight_groups!C26="","",weight_groups!C26)</f>
        <v/>
      </c>
      <c r="D179">
        <f>IF(weight_groups!D26="","",weight_groups!D26)</f>
        <v/>
      </c>
      <c r="E179" s="7">
        <f>IF(weight_groups!E26="","",weight_groups!E26)</f>
        <v/>
      </c>
      <c r="F179" s="8">
        <f>IF(weight_groups!F26="","",weight_groups!F26)</f>
        <v/>
      </c>
      <c r="G179" s="8">
        <f>IF(weight_groups!G26="","",weight_groups!G26)</f>
        <v/>
      </c>
      <c r="H179" s="9">
        <f>IF(weight_groups!H26="","",weight_groups!H26)</f>
        <v/>
      </c>
    </row>
    <row r="180">
      <c r="A180">
        <f>IF(weight_groups!A27="","",weight_groups!A27)</f>
        <v/>
      </c>
      <c r="B180">
        <f>IF(weight_groups!B27="","",weight_groups!B27)</f>
        <v/>
      </c>
      <c r="C180">
        <f>IF(weight_groups!C27="","",weight_groups!C27)</f>
        <v/>
      </c>
      <c r="D180">
        <f>IF(weight_groups!D27="","",weight_groups!D27)</f>
        <v/>
      </c>
      <c r="E180" s="7">
        <f>IF(weight_groups!E27="","",weight_groups!E27)</f>
        <v/>
      </c>
      <c r="F180" s="8">
        <f>IF(weight_groups!F27="","",weight_groups!F27)</f>
        <v/>
      </c>
      <c r="G180" s="8">
        <f>IF(weight_groups!G27="","",weight_groups!G27)</f>
        <v/>
      </c>
      <c r="H180" s="9">
        <f>IF(weight_groups!H27="","",weight_groups!H27)</f>
        <v/>
      </c>
    </row>
    <row r="181">
      <c r="A181">
        <f>IF(weight_groups!A28="","",weight_groups!A28)</f>
        <v/>
      </c>
      <c r="B181">
        <f>IF(weight_groups!B28="","",weight_groups!B28)</f>
        <v/>
      </c>
      <c r="C181">
        <f>IF(weight_groups!C28="","",weight_groups!C28)</f>
        <v/>
      </c>
      <c r="D181">
        <f>IF(weight_groups!D28="","",weight_groups!D28)</f>
        <v/>
      </c>
      <c r="E181" s="7">
        <f>IF(weight_groups!E28="","",weight_groups!E28)</f>
        <v/>
      </c>
      <c r="F181" s="8">
        <f>IF(weight_groups!F28="","",weight_groups!F28)</f>
        <v/>
      </c>
      <c r="G181" s="8">
        <f>IF(weight_groups!G28="","",weight_groups!G28)</f>
        <v/>
      </c>
      <c r="H181" s="9">
        <f>IF(weight_groups!H28="","",weight_groups!H28)</f>
        <v/>
      </c>
    </row>
    <row r="182">
      <c r="A182">
        <f>IF(weight_groups!A29="","",weight_groups!A29)</f>
        <v/>
      </c>
      <c r="B182">
        <f>IF(weight_groups!B29="","",weight_groups!B29)</f>
        <v/>
      </c>
      <c r="C182">
        <f>IF(weight_groups!C29="","",weight_groups!C29)</f>
        <v/>
      </c>
      <c r="D182">
        <f>IF(weight_groups!D29="","",weight_groups!D29)</f>
        <v/>
      </c>
      <c r="E182" s="7">
        <f>IF(weight_groups!E29="","",weight_groups!E29)</f>
        <v/>
      </c>
      <c r="F182" s="8">
        <f>IF(weight_groups!F29="","",weight_groups!F29)</f>
        <v/>
      </c>
      <c r="G182" s="8">
        <f>IF(weight_groups!G29="","",weight_groups!G29)</f>
        <v/>
      </c>
      <c r="H182" s="9">
        <f>IF(weight_groups!H29="","",weight_groups!H29)</f>
        <v/>
      </c>
    </row>
    <row r="183">
      <c r="A183">
        <f>IF(weight_groups!A30="","",weight_groups!A30)</f>
        <v/>
      </c>
      <c r="B183">
        <f>IF(weight_groups!B30="","",weight_groups!B30)</f>
        <v/>
      </c>
      <c r="C183">
        <f>IF(weight_groups!C30="","",weight_groups!C30)</f>
        <v/>
      </c>
      <c r="D183">
        <f>IF(weight_groups!D30="","",weight_groups!D30)</f>
        <v/>
      </c>
      <c r="E183" s="7">
        <f>IF(weight_groups!E30="","",weight_groups!E30)</f>
        <v/>
      </c>
      <c r="F183" s="8">
        <f>IF(weight_groups!F30="","",weight_groups!F30)</f>
        <v/>
      </c>
      <c r="G183" s="8">
        <f>IF(weight_groups!G30="","",weight_groups!G30)</f>
        <v/>
      </c>
      <c r="H183" s="9">
        <f>IF(weight_groups!H30="","",weight_groups!H30)</f>
        <v/>
      </c>
    </row>
    <row r="184">
      <c r="A184">
        <f>IF(weight_groups!A31="","",weight_groups!A31)</f>
        <v/>
      </c>
      <c r="B184">
        <f>IF(weight_groups!B31="","",weight_groups!B31)</f>
        <v/>
      </c>
      <c r="C184">
        <f>IF(weight_groups!C31="","",weight_groups!C31)</f>
        <v/>
      </c>
      <c r="D184">
        <f>IF(weight_groups!D31="","",weight_groups!D31)</f>
        <v/>
      </c>
      <c r="E184" s="7">
        <f>IF(weight_groups!E31="","",weight_groups!E31)</f>
        <v/>
      </c>
      <c r="F184" s="8">
        <f>IF(weight_groups!F31="","",weight_groups!F31)</f>
        <v/>
      </c>
      <c r="G184" s="8">
        <f>IF(weight_groups!G31="","",weight_groups!G31)</f>
        <v/>
      </c>
      <c r="H184" s="9">
        <f>IF(weight_groups!H31="","",weight_groups!H31)</f>
        <v/>
      </c>
    </row>
    <row r="185">
      <c r="A185">
        <f>IF(weight_groups!A32="","",weight_groups!A32)</f>
        <v/>
      </c>
      <c r="B185">
        <f>IF(weight_groups!B32="","",weight_groups!B32)</f>
        <v/>
      </c>
      <c r="C185">
        <f>IF(weight_groups!C32="","",weight_groups!C32)</f>
        <v/>
      </c>
      <c r="D185">
        <f>IF(weight_groups!D32="","",weight_groups!D32)</f>
        <v/>
      </c>
      <c r="E185" s="7">
        <f>IF(weight_groups!E32="","",weight_groups!E32)</f>
        <v/>
      </c>
      <c r="F185" s="8">
        <f>IF(weight_groups!F32="","",weight_groups!F32)</f>
        <v/>
      </c>
      <c r="G185" s="8">
        <f>IF(weight_groups!G32="","",weight_groups!G32)</f>
        <v/>
      </c>
      <c r="H185" s="9">
        <f>IF(weight_groups!H32="","",weight_groups!H32)</f>
        <v/>
      </c>
    </row>
    <row r="186">
      <c r="A186">
        <f>IF(weight_groups!A33="","",weight_groups!A33)</f>
        <v/>
      </c>
      <c r="B186">
        <f>IF(weight_groups!B33="","",weight_groups!B33)</f>
        <v/>
      </c>
      <c r="C186">
        <f>IF(weight_groups!C33="","",weight_groups!C33)</f>
        <v/>
      </c>
      <c r="D186">
        <f>IF(weight_groups!D33="","",weight_groups!D33)</f>
        <v/>
      </c>
      <c r="E186" s="7">
        <f>IF(weight_groups!E33="","",weight_groups!E33)</f>
        <v/>
      </c>
      <c r="F186" s="8">
        <f>IF(weight_groups!F33="","",weight_groups!F33)</f>
        <v/>
      </c>
      <c r="G186" s="8">
        <f>IF(weight_groups!G33="","",weight_groups!G33)</f>
        <v/>
      </c>
      <c r="H186" s="9">
        <f>IF(weight_groups!H33="","",weight_groups!H33)</f>
        <v/>
      </c>
    </row>
    <row r="187">
      <c r="A187">
        <f>IF(weight_groups!A34="","",weight_groups!A34)</f>
        <v/>
      </c>
      <c r="B187">
        <f>IF(weight_groups!B34="","",weight_groups!B34)</f>
        <v/>
      </c>
      <c r="C187">
        <f>IF(weight_groups!C34="","",weight_groups!C34)</f>
        <v/>
      </c>
      <c r="D187">
        <f>IF(weight_groups!D34="","",weight_groups!D34)</f>
        <v/>
      </c>
      <c r="E187" s="7">
        <f>IF(weight_groups!E34="","",weight_groups!E34)</f>
        <v/>
      </c>
      <c r="F187" s="8">
        <f>IF(weight_groups!F34="","",weight_groups!F34)</f>
        <v/>
      </c>
      <c r="G187" s="8">
        <f>IF(weight_groups!G34="","",weight_groups!G34)</f>
        <v/>
      </c>
      <c r="H187" s="9">
        <f>IF(weight_groups!H34="","",weight_groups!H34)</f>
        <v/>
      </c>
    </row>
    <row r="188">
      <c r="A188">
        <f>IF(weight_groups!A35="","",weight_groups!A35)</f>
        <v/>
      </c>
      <c r="B188">
        <f>IF(weight_groups!B35="","",weight_groups!B35)</f>
        <v/>
      </c>
      <c r="C188">
        <f>IF(weight_groups!C35="","",weight_groups!C35)</f>
        <v/>
      </c>
      <c r="D188">
        <f>IF(weight_groups!D35="","",weight_groups!D35)</f>
        <v/>
      </c>
      <c r="E188" s="7">
        <f>IF(weight_groups!E35="","",weight_groups!E35)</f>
        <v/>
      </c>
      <c r="F188" s="8">
        <f>IF(weight_groups!F35="","",weight_groups!F35)</f>
        <v/>
      </c>
      <c r="G188" s="8">
        <f>IF(weight_groups!G35="","",weight_groups!G35)</f>
        <v/>
      </c>
      <c r="H188" s="9">
        <f>IF(weight_groups!H35="","",weight_groups!H35)</f>
        <v/>
      </c>
    </row>
    <row r="189">
      <c r="A189">
        <f>IF(weight_groups!A36="","",weight_groups!A36)</f>
        <v/>
      </c>
      <c r="B189">
        <f>IF(weight_groups!B36="","",weight_groups!B36)</f>
        <v/>
      </c>
      <c r="C189">
        <f>IF(weight_groups!C36="","",weight_groups!C36)</f>
        <v/>
      </c>
      <c r="D189">
        <f>IF(weight_groups!D36="","",weight_groups!D36)</f>
        <v/>
      </c>
      <c r="E189" s="7">
        <f>IF(weight_groups!E36="","",weight_groups!E36)</f>
        <v/>
      </c>
      <c r="F189" s="8">
        <f>IF(weight_groups!F36="","",weight_groups!F36)</f>
        <v/>
      </c>
      <c r="G189" s="8">
        <f>IF(weight_groups!G36="","",weight_groups!G36)</f>
        <v/>
      </c>
      <c r="H189" s="9">
        <f>IF(weight_groups!H36="","",weight_groups!H36)</f>
        <v/>
      </c>
    </row>
    <row r="190">
      <c r="A190">
        <f>IF(weight_groups!A37="","",weight_groups!A37)</f>
        <v/>
      </c>
      <c r="B190">
        <f>IF(weight_groups!B37="","",weight_groups!B37)</f>
        <v/>
      </c>
      <c r="C190">
        <f>IF(weight_groups!C37="","",weight_groups!C37)</f>
        <v/>
      </c>
      <c r="D190">
        <f>IF(weight_groups!D37="","",weight_groups!D37)</f>
        <v/>
      </c>
      <c r="E190" s="7">
        <f>IF(weight_groups!E37="","",weight_groups!E37)</f>
        <v/>
      </c>
      <c r="F190" s="8">
        <f>IF(weight_groups!F37="","",weight_groups!F37)</f>
        <v/>
      </c>
      <c r="G190" s="8">
        <f>IF(weight_groups!G37="","",weight_groups!G37)</f>
        <v/>
      </c>
      <c r="H190" s="9">
        <f>IF(weight_groups!H37="","",weight_groups!H37)</f>
        <v/>
      </c>
    </row>
    <row r="191">
      <c r="A191">
        <f>IF(weight_groups!A38="","",weight_groups!A38)</f>
        <v/>
      </c>
      <c r="B191">
        <f>IF(weight_groups!B38="","",weight_groups!B38)</f>
        <v/>
      </c>
      <c r="C191">
        <f>IF(weight_groups!C38="","",weight_groups!C38)</f>
        <v/>
      </c>
      <c r="D191">
        <f>IF(weight_groups!D38="","",weight_groups!D38)</f>
        <v/>
      </c>
      <c r="E191" s="7">
        <f>IF(weight_groups!E38="","",weight_groups!E38)</f>
        <v/>
      </c>
      <c r="F191" s="8">
        <f>IF(weight_groups!F38="","",weight_groups!F38)</f>
        <v/>
      </c>
      <c r="G191" s="8">
        <f>IF(weight_groups!G38="","",weight_groups!G38)</f>
        <v/>
      </c>
      <c r="H191" s="9">
        <f>IF(weight_groups!H38="","",weight_groups!H38)</f>
        <v/>
      </c>
    </row>
    <row r="192">
      <c r="A192">
        <f>IF(weight_groups!A39="","",weight_groups!A39)</f>
        <v/>
      </c>
      <c r="B192">
        <f>IF(weight_groups!B39="","",weight_groups!B39)</f>
        <v/>
      </c>
      <c r="C192">
        <f>IF(weight_groups!C39="","",weight_groups!C39)</f>
        <v/>
      </c>
      <c r="D192">
        <f>IF(weight_groups!D39="","",weight_groups!D39)</f>
        <v/>
      </c>
      <c r="E192" s="7">
        <f>IF(weight_groups!E39="","",weight_groups!E39)</f>
        <v/>
      </c>
      <c r="F192" s="8">
        <f>IF(weight_groups!F39="","",weight_groups!F39)</f>
        <v/>
      </c>
      <c r="G192" s="8">
        <f>IF(weight_groups!G39="","",weight_groups!G39)</f>
        <v/>
      </c>
      <c r="H192" s="9">
        <f>IF(weight_groups!H39="","",weight_groups!H39)</f>
        <v/>
      </c>
    </row>
    <row r="193">
      <c r="A193">
        <f>IF(weight_groups!A40="","",weight_groups!A40)</f>
        <v/>
      </c>
      <c r="B193">
        <f>IF(weight_groups!B40="","",weight_groups!B40)</f>
        <v/>
      </c>
      <c r="C193">
        <f>IF(weight_groups!C40="","",weight_groups!C40)</f>
        <v/>
      </c>
      <c r="D193">
        <f>IF(weight_groups!D40="","",weight_groups!D40)</f>
        <v/>
      </c>
      <c r="E193" s="7">
        <f>IF(weight_groups!E40="","",weight_groups!E40)</f>
        <v/>
      </c>
      <c r="F193" s="8">
        <f>IF(weight_groups!F40="","",weight_groups!F40)</f>
        <v/>
      </c>
      <c r="G193" s="8">
        <f>IF(weight_groups!G40="","",weight_groups!G40)</f>
        <v/>
      </c>
      <c r="H193" s="9">
        <f>IF(weight_groups!H40="","",weight_groups!H40)</f>
        <v/>
      </c>
    </row>
    <row r="194">
      <c r="A194">
        <f>IF(weight_groups!A41="","",weight_groups!A41)</f>
        <v/>
      </c>
      <c r="B194">
        <f>IF(weight_groups!B41="","",weight_groups!B41)</f>
        <v/>
      </c>
      <c r="C194">
        <f>IF(weight_groups!C41="","",weight_groups!C41)</f>
        <v/>
      </c>
      <c r="D194">
        <f>IF(weight_groups!D41="","",weight_groups!D41)</f>
        <v/>
      </c>
      <c r="E194" s="7">
        <f>IF(weight_groups!E41="","",weight_groups!E41)</f>
        <v/>
      </c>
      <c r="F194" s="8">
        <f>IF(weight_groups!F41="","",weight_groups!F41)</f>
        <v/>
      </c>
      <c r="G194" s="8">
        <f>IF(weight_groups!G41="","",weight_groups!G41)</f>
        <v/>
      </c>
      <c r="H194" s="9">
        <f>IF(weight_groups!H41="","",weight_groups!H41)</f>
        <v/>
      </c>
    </row>
    <row r="196">
      <c r="A196" s="3" t="inlineStr">
        <is>
          <t>Flagged units (flags.csv)</t>
        </is>
      </c>
    </row>
    <row r="197">
      <c r="A197" t="inlineStr">
        <is>
          <t>Flagged rows in the export:</t>
        </is>
      </c>
      <c r="B197">
        <f>COUNTA(flags!$B$2:$B$5000)</f>
        <v/>
      </c>
    </row>
    <row r="198">
      <c r="A198" s="6" t="inlineStr">
        <is>
          <t>table</t>
        </is>
      </c>
      <c r="B198" s="6" t="inlineStr">
        <is>
          <t>unit_id</t>
        </is>
      </c>
      <c r="C198" s="6" t="inlineStr">
        <is>
          <t>stage</t>
        </is>
      </c>
      <c r="D198" s="6" t="inlineStr">
        <is>
          <t>value</t>
        </is>
      </c>
      <c r="E198" s="6" t="inlineStr">
        <is>
          <t>reason</t>
        </is>
      </c>
    </row>
    <row r="199">
      <c r="A199">
        <f>IF(flags!A2="","",flags!A2)</f>
        <v/>
      </c>
      <c r="B199">
        <f>IF(flags!B2="","",flags!B2)</f>
        <v/>
      </c>
      <c r="C199">
        <f>IF(flags!C2="","",flags!C2)</f>
        <v/>
      </c>
      <c r="D199" s="8">
        <f>IF(flags!D2="","",flags!D2)</f>
        <v/>
      </c>
      <c r="E199">
        <f>IF(flags!E2="","",flags!E2)</f>
        <v/>
      </c>
    </row>
    <row r="200">
      <c r="A200">
        <f>IF(flags!A3="","",flags!A3)</f>
        <v/>
      </c>
      <c r="B200">
        <f>IF(flags!B3="","",flags!B3)</f>
        <v/>
      </c>
      <c r="C200">
        <f>IF(flags!C3="","",flags!C3)</f>
        <v/>
      </c>
      <c r="D200" s="8">
        <f>IF(flags!D3="","",flags!D3)</f>
        <v/>
      </c>
      <c r="E200">
        <f>IF(flags!E3="","",flags!E3)</f>
        <v/>
      </c>
    </row>
    <row r="201">
      <c r="A201">
        <f>IF(flags!A4="","",flags!A4)</f>
        <v/>
      </c>
      <c r="B201">
        <f>IF(flags!B4="","",flags!B4)</f>
        <v/>
      </c>
      <c r="C201">
        <f>IF(flags!C4="","",flags!C4)</f>
        <v/>
      </c>
      <c r="D201" s="8">
        <f>IF(flags!D4="","",flags!D4)</f>
        <v/>
      </c>
      <c r="E201">
        <f>IF(flags!E4="","",flags!E4)</f>
        <v/>
      </c>
    </row>
    <row r="202">
      <c r="A202">
        <f>IF(flags!A5="","",flags!A5)</f>
        <v/>
      </c>
      <c r="B202">
        <f>IF(flags!B5="","",flags!B5)</f>
        <v/>
      </c>
      <c r="C202">
        <f>IF(flags!C5="","",flags!C5)</f>
        <v/>
      </c>
      <c r="D202" s="8">
        <f>IF(flags!D5="","",flags!D5)</f>
        <v/>
      </c>
      <c r="E202">
        <f>IF(flags!E5="","",flags!E5)</f>
        <v/>
      </c>
    </row>
    <row r="203">
      <c r="A203">
        <f>IF(flags!A6="","",flags!A6)</f>
        <v/>
      </c>
      <c r="B203">
        <f>IF(flags!B6="","",flags!B6)</f>
        <v/>
      </c>
      <c r="C203">
        <f>IF(flags!C6="","",flags!C6)</f>
        <v/>
      </c>
      <c r="D203" s="8">
        <f>IF(flags!D6="","",flags!D6)</f>
        <v/>
      </c>
      <c r="E203">
        <f>IF(flags!E6="","",flags!E6)</f>
        <v/>
      </c>
    </row>
    <row r="204">
      <c r="A204">
        <f>IF(flags!A7="","",flags!A7)</f>
        <v/>
      </c>
      <c r="B204">
        <f>IF(flags!B7="","",flags!B7)</f>
        <v/>
      </c>
      <c r="C204">
        <f>IF(flags!C7="","",flags!C7)</f>
        <v/>
      </c>
      <c r="D204" s="8">
        <f>IF(flags!D7="","",flags!D7)</f>
        <v/>
      </c>
      <c r="E204">
        <f>IF(flags!E7="","",flags!E7)</f>
        <v/>
      </c>
    </row>
    <row r="205">
      <c r="A205">
        <f>IF(flags!A8="","",flags!A8)</f>
        <v/>
      </c>
      <c r="B205">
        <f>IF(flags!B8="","",flags!B8)</f>
        <v/>
      </c>
      <c r="C205">
        <f>IF(flags!C8="","",flags!C8)</f>
        <v/>
      </c>
      <c r="D205" s="8">
        <f>IF(flags!D8="","",flags!D8)</f>
        <v/>
      </c>
      <c r="E205">
        <f>IF(flags!E8="","",flags!E8)</f>
        <v/>
      </c>
    </row>
    <row r="206">
      <c r="A206">
        <f>IF(flags!A9="","",flags!A9)</f>
        <v/>
      </c>
      <c r="B206">
        <f>IF(flags!B9="","",flags!B9)</f>
        <v/>
      </c>
      <c r="C206">
        <f>IF(flags!C9="","",flags!C9)</f>
        <v/>
      </c>
      <c r="D206" s="8">
        <f>IF(flags!D9="","",flags!D9)</f>
        <v/>
      </c>
      <c r="E206">
        <f>IF(flags!E9="","",flags!E9)</f>
        <v/>
      </c>
    </row>
    <row r="207">
      <c r="A207">
        <f>IF(flags!A10="","",flags!A10)</f>
        <v/>
      </c>
      <c r="B207">
        <f>IF(flags!B10="","",flags!B10)</f>
        <v/>
      </c>
      <c r="C207">
        <f>IF(flags!C10="","",flags!C10)</f>
        <v/>
      </c>
      <c r="D207" s="8">
        <f>IF(flags!D10="","",flags!D10)</f>
        <v/>
      </c>
      <c r="E207">
        <f>IF(flags!E10="","",flags!E10)</f>
        <v/>
      </c>
    </row>
    <row r="208">
      <c r="A208">
        <f>IF(flags!A11="","",flags!A11)</f>
        <v/>
      </c>
      <c r="B208">
        <f>IF(flags!B11="","",flags!B11)</f>
        <v/>
      </c>
      <c r="C208">
        <f>IF(flags!C11="","",flags!C11)</f>
        <v/>
      </c>
      <c r="D208" s="8">
        <f>IF(flags!D11="","",flags!D11)</f>
        <v/>
      </c>
      <c r="E208">
        <f>IF(flags!E11="","",flags!E11)</f>
        <v/>
      </c>
    </row>
    <row r="209">
      <c r="A209">
        <f>IF(flags!A12="","",flags!A12)</f>
        <v/>
      </c>
      <c r="B209">
        <f>IF(flags!B12="","",flags!B12)</f>
        <v/>
      </c>
      <c r="C209">
        <f>IF(flags!C12="","",flags!C12)</f>
        <v/>
      </c>
      <c r="D209" s="8">
        <f>IF(flags!D12="","",flags!D12)</f>
        <v/>
      </c>
      <c r="E209">
        <f>IF(flags!E12="","",flags!E12)</f>
        <v/>
      </c>
    </row>
    <row r="210">
      <c r="A210">
        <f>IF(flags!A13="","",flags!A13)</f>
        <v/>
      </c>
      <c r="B210">
        <f>IF(flags!B13="","",flags!B13)</f>
        <v/>
      </c>
      <c r="C210">
        <f>IF(flags!C13="","",flags!C13)</f>
        <v/>
      </c>
      <c r="D210" s="8">
        <f>IF(flags!D13="","",flags!D13)</f>
        <v/>
      </c>
      <c r="E210">
        <f>IF(flags!E13="","",flags!E13)</f>
        <v/>
      </c>
    </row>
    <row r="211">
      <c r="A211">
        <f>IF(flags!A14="","",flags!A14)</f>
        <v/>
      </c>
      <c r="B211">
        <f>IF(flags!B14="","",flags!B14)</f>
        <v/>
      </c>
      <c r="C211">
        <f>IF(flags!C14="","",flags!C14)</f>
        <v/>
      </c>
      <c r="D211" s="8">
        <f>IF(flags!D14="","",flags!D14)</f>
        <v/>
      </c>
      <c r="E211">
        <f>IF(flags!E14="","",flags!E14)</f>
        <v/>
      </c>
    </row>
    <row r="212">
      <c r="A212">
        <f>IF(flags!A15="","",flags!A15)</f>
        <v/>
      </c>
      <c r="B212">
        <f>IF(flags!B15="","",flags!B15)</f>
        <v/>
      </c>
      <c r="C212">
        <f>IF(flags!C15="","",flags!C15)</f>
        <v/>
      </c>
      <c r="D212" s="8">
        <f>IF(flags!D15="","",flags!D15)</f>
        <v/>
      </c>
      <c r="E212">
        <f>IF(flags!E15="","",flags!E15)</f>
        <v/>
      </c>
    </row>
    <row r="213">
      <c r="A213">
        <f>IF(flags!A16="","",flags!A16)</f>
        <v/>
      </c>
      <c r="B213">
        <f>IF(flags!B16="","",flags!B16)</f>
        <v/>
      </c>
      <c r="C213">
        <f>IF(flags!C16="","",flags!C16)</f>
        <v/>
      </c>
      <c r="D213" s="8">
        <f>IF(flags!D16="","",flags!D16)</f>
        <v/>
      </c>
      <c r="E213">
        <f>IF(flags!E16="","",flags!E16)</f>
        <v/>
      </c>
    </row>
    <row r="214">
      <c r="A214">
        <f>IF(flags!A17="","",flags!A17)</f>
        <v/>
      </c>
      <c r="B214">
        <f>IF(flags!B17="","",flags!B17)</f>
        <v/>
      </c>
      <c r="C214">
        <f>IF(flags!C17="","",flags!C17)</f>
        <v/>
      </c>
      <c r="D214" s="8">
        <f>IF(flags!D17="","",flags!D17)</f>
        <v/>
      </c>
      <c r="E214">
        <f>IF(flags!E17="","",flags!E17)</f>
        <v/>
      </c>
    </row>
    <row r="215">
      <c r="A215">
        <f>IF(flags!A18="","",flags!A18)</f>
        <v/>
      </c>
      <c r="B215">
        <f>IF(flags!B18="","",flags!B18)</f>
        <v/>
      </c>
      <c r="C215">
        <f>IF(flags!C18="","",flags!C18)</f>
        <v/>
      </c>
      <c r="D215" s="8">
        <f>IF(flags!D18="","",flags!D18)</f>
        <v/>
      </c>
      <c r="E215">
        <f>IF(flags!E18="","",flags!E18)</f>
        <v/>
      </c>
    </row>
    <row r="216">
      <c r="A216">
        <f>IF(flags!A19="","",flags!A19)</f>
        <v/>
      </c>
      <c r="B216">
        <f>IF(flags!B19="","",flags!B19)</f>
        <v/>
      </c>
      <c r="C216">
        <f>IF(flags!C19="","",flags!C19)</f>
        <v/>
      </c>
      <c r="D216" s="8">
        <f>IF(flags!D19="","",flags!D19)</f>
        <v/>
      </c>
      <c r="E216">
        <f>IF(flags!E19="","",flags!E19)</f>
        <v/>
      </c>
    </row>
    <row r="217">
      <c r="A217">
        <f>IF(flags!A20="","",flags!A20)</f>
        <v/>
      </c>
      <c r="B217">
        <f>IF(flags!B20="","",flags!B20)</f>
        <v/>
      </c>
      <c r="C217">
        <f>IF(flags!C20="","",flags!C20)</f>
        <v/>
      </c>
      <c r="D217" s="8">
        <f>IF(flags!D20="","",flags!D20)</f>
        <v/>
      </c>
      <c r="E217">
        <f>IF(flags!E20="","",flags!E20)</f>
        <v/>
      </c>
    </row>
    <row r="218">
      <c r="A218">
        <f>IF(flags!A21="","",flags!A21)</f>
        <v/>
      </c>
      <c r="B218">
        <f>IF(flags!B21="","",flags!B21)</f>
        <v/>
      </c>
      <c r="C218">
        <f>IF(flags!C21="","",flags!C21)</f>
        <v/>
      </c>
      <c r="D218" s="8">
        <f>IF(flags!D21="","",flags!D21)</f>
        <v/>
      </c>
      <c r="E218">
        <f>IF(flags!E21="","",flags!E21)</f>
        <v/>
      </c>
    </row>
    <row r="219">
      <c r="A219">
        <f>IF(flags!A22="","",flags!A22)</f>
        <v/>
      </c>
      <c r="B219">
        <f>IF(flags!B22="","",flags!B22)</f>
        <v/>
      </c>
      <c r="C219">
        <f>IF(flags!C22="","",flags!C22)</f>
        <v/>
      </c>
      <c r="D219" s="8">
        <f>IF(flags!D22="","",flags!D22)</f>
        <v/>
      </c>
      <c r="E219">
        <f>IF(flags!E22="","",flags!E22)</f>
        <v/>
      </c>
    </row>
    <row r="220">
      <c r="A220">
        <f>IF(flags!A23="","",flags!A23)</f>
        <v/>
      </c>
      <c r="B220">
        <f>IF(flags!B23="","",flags!B23)</f>
        <v/>
      </c>
      <c r="C220">
        <f>IF(flags!C23="","",flags!C23)</f>
        <v/>
      </c>
      <c r="D220" s="8">
        <f>IF(flags!D23="","",flags!D23)</f>
        <v/>
      </c>
      <c r="E220">
        <f>IF(flags!E23="","",flags!E23)</f>
        <v/>
      </c>
    </row>
    <row r="221">
      <c r="A221">
        <f>IF(flags!A24="","",flags!A24)</f>
        <v/>
      </c>
      <c r="B221">
        <f>IF(flags!B24="","",flags!B24)</f>
        <v/>
      </c>
      <c r="C221">
        <f>IF(flags!C24="","",flags!C24)</f>
        <v/>
      </c>
      <c r="D221" s="8">
        <f>IF(flags!D24="","",flags!D24)</f>
        <v/>
      </c>
      <c r="E221">
        <f>IF(flags!E24="","",flags!E24)</f>
        <v/>
      </c>
    </row>
    <row r="222">
      <c r="A222">
        <f>IF(flags!A25="","",flags!A25)</f>
        <v/>
      </c>
      <c r="B222">
        <f>IF(flags!B25="","",flags!B25)</f>
        <v/>
      </c>
      <c r="C222">
        <f>IF(flags!C25="","",flags!C25)</f>
        <v/>
      </c>
      <c r="D222" s="8">
        <f>IF(flags!D25="","",flags!D25)</f>
        <v/>
      </c>
      <c r="E222">
        <f>IF(flags!E25="","",flags!E25)</f>
        <v/>
      </c>
    </row>
    <row r="223">
      <c r="A223">
        <f>IF(flags!A26="","",flags!A26)</f>
        <v/>
      </c>
      <c r="B223">
        <f>IF(flags!B26="","",flags!B26)</f>
        <v/>
      </c>
      <c r="C223">
        <f>IF(flags!C26="","",flags!C26)</f>
        <v/>
      </c>
      <c r="D223" s="8">
        <f>IF(flags!D26="","",flags!D26)</f>
        <v/>
      </c>
      <c r="E223">
        <f>IF(flags!E26="","",flags!E26)</f>
        <v/>
      </c>
    </row>
    <row r="224">
      <c r="A224">
        <f>IF(flags!A27="","",flags!A27)</f>
        <v/>
      </c>
      <c r="B224">
        <f>IF(flags!B27="","",flags!B27)</f>
        <v/>
      </c>
      <c r="C224">
        <f>IF(flags!C27="","",flags!C27)</f>
        <v/>
      </c>
      <c r="D224" s="8">
        <f>IF(flags!D27="","",flags!D27)</f>
        <v/>
      </c>
      <c r="E224">
        <f>IF(flags!E27="","",flags!E27)</f>
        <v/>
      </c>
    </row>
    <row r="225">
      <c r="A225">
        <f>IF(flags!A28="","",flags!A28)</f>
        <v/>
      </c>
      <c r="B225">
        <f>IF(flags!B28="","",flags!B28)</f>
        <v/>
      </c>
      <c r="C225">
        <f>IF(flags!C28="","",flags!C28)</f>
        <v/>
      </c>
      <c r="D225" s="8">
        <f>IF(flags!D28="","",flags!D28)</f>
        <v/>
      </c>
      <c r="E225">
        <f>IF(flags!E28="","",flags!E28)</f>
        <v/>
      </c>
    </row>
    <row r="226">
      <c r="A226">
        <f>IF(flags!A29="","",flags!A29)</f>
        <v/>
      </c>
      <c r="B226">
        <f>IF(flags!B29="","",flags!B29)</f>
        <v/>
      </c>
      <c r="C226">
        <f>IF(flags!C29="","",flags!C29)</f>
        <v/>
      </c>
      <c r="D226" s="8">
        <f>IF(flags!D29="","",flags!D29)</f>
        <v/>
      </c>
      <c r="E226">
        <f>IF(flags!E29="","",flags!E29)</f>
        <v/>
      </c>
    </row>
    <row r="227">
      <c r="A227">
        <f>IF(flags!A30="","",flags!A30)</f>
        <v/>
      </c>
      <c r="B227">
        <f>IF(flags!B30="","",flags!B30)</f>
        <v/>
      </c>
      <c r="C227">
        <f>IF(flags!C30="","",flags!C30)</f>
        <v/>
      </c>
      <c r="D227" s="8">
        <f>IF(flags!D30="","",flags!D30)</f>
        <v/>
      </c>
      <c r="E227">
        <f>IF(flags!E30="","",flags!E30)</f>
        <v/>
      </c>
    </row>
    <row r="228">
      <c r="A228">
        <f>IF(flags!A31="","",flags!A31)</f>
        <v/>
      </c>
      <c r="B228">
        <f>IF(flags!B31="","",flags!B31)</f>
        <v/>
      </c>
      <c r="C228">
        <f>IF(flags!C31="","",flags!C31)</f>
        <v/>
      </c>
      <c r="D228" s="8">
        <f>IF(flags!D31="","",flags!D31)</f>
        <v/>
      </c>
      <c r="E228">
        <f>IF(flags!E31="","",flags!E31)</f>
        <v/>
      </c>
    </row>
    <row r="229">
      <c r="A229">
        <f>IF(flags!A32="","",flags!A32)</f>
        <v/>
      </c>
      <c r="B229">
        <f>IF(flags!B32="","",flags!B32)</f>
        <v/>
      </c>
      <c r="C229">
        <f>IF(flags!C32="","",flags!C32)</f>
        <v/>
      </c>
      <c r="D229" s="8">
        <f>IF(flags!D32="","",flags!D32)</f>
        <v/>
      </c>
      <c r="E229">
        <f>IF(flags!E32="","",flags!E32)</f>
        <v/>
      </c>
    </row>
    <row r="230">
      <c r="A230">
        <f>IF(flags!A33="","",flags!A33)</f>
        <v/>
      </c>
      <c r="B230">
        <f>IF(flags!B33="","",flags!B33)</f>
        <v/>
      </c>
      <c r="C230">
        <f>IF(flags!C33="","",flags!C33)</f>
        <v/>
      </c>
      <c r="D230" s="8">
        <f>IF(flags!D33="","",flags!D33)</f>
        <v/>
      </c>
      <c r="E230">
        <f>IF(flags!E33="","",flags!E33)</f>
        <v/>
      </c>
    </row>
    <row r="231">
      <c r="A231">
        <f>IF(flags!A34="","",flags!A34)</f>
        <v/>
      </c>
      <c r="B231">
        <f>IF(flags!B34="","",flags!B34)</f>
        <v/>
      </c>
      <c r="C231">
        <f>IF(flags!C34="","",flags!C34)</f>
        <v/>
      </c>
      <c r="D231" s="8">
        <f>IF(flags!D34="","",flags!D34)</f>
        <v/>
      </c>
      <c r="E231">
        <f>IF(flags!E34="","",flags!E34)</f>
        <v/>
      </c>
    </row>
    <row r="232">
      <c r="A232">
        <f>IF(flags!A35="","",flags!A35)</f>
        <v/>
      </c>
      <c r="B232">
        <f>IF(flags!B35="","",flags!B35)</f>
        <v/>
      </c>
      <c r="C232">
        <f>IF(flags!C35="","",flags!C35)</f>
        <v/>
      </c>
      <c r="D232" s="8">
        <f>IF(flags!D35="","",flags!D35)</f>
        <v/>
      </c>
      <c r="E232">
        <f>IF(flags!E35="","",flags!E35)</f>
        <v/>
      </c>
    </row>
    <row r="233">
      <c r="A233">
        <f>IF(flags!A36="","",flags!A36)</f>
        <v/>
      </c>
      <c r="B233">
        <f>IF(flags!B36="","",flags!B36)</f>
        <v/>
      </c>
      <c r="C233">
        <f>IF(flags!C36="","",flags!C36)</f>
        <v/>
      </c>
      <c r="D233" s="8">
        <f>IF(flags!D36="","",flags!D36)</f>
        <v/>
      </c>
      <c r="E233">
        <f>IF(flags!E36="","",flags!E36)</f>
        <v/>
      </c>
    </row>
    <row r="234">
      <c r="A234">
        <f>IF(flags!A37="","",flags!A37)</f>
        <v/>
      </c>
      <c r="B234">
        <f>IF(flags!B37="","",flags!B37)</f>
        <v/>
      </c>
      <c r="C234">
        <f>IF(flags!C37="","",flags!C37)</f>
        <v/>
      </c>
      <c r="D234" s="8">
        <f>IF(flags!D37="","",flags!D37)</f>
        <v/>
      </c>
      <c r="E234">
        <f>IF(flags!E37="","",flags!E37)</f>
        <v/>
      </c>
    </row>
    <row r="235">
      <c r="A235">
        <f>IF(flags!A38="","",flags!A38)</f>
        <v/>
      </c>
      <c r="B235">
        <f>IF(flags!B38="","",flags!B38)</f>
        <v/>
      </c>
      <c r="C235">
        <f>IF(flags!C38="","",flags!C38)</f>
        <v/>
      </c>
      <c r="D235" s="8">
        <f>IF(flags!D38="","",flags!D38)</f>
        <v/>
      </c>
      <c r="E235">
        <f>IF(flags!E38="","",flags!E38)</f>
        <v/>
      </c>
    </row>
    <row r="236">
      <c r="A236">
        <f>IF(flags!A39="","",flags!A39)</f>
        <v/>
      </c>
      <c r="B236">
        <f>IF(flags!B39="","",flags!B39)</f>
        <v/>
      </c>
      <c r="C236">
        <f>IF(flags!C39="","",flags!C39)</f>
        <v/>
      </c>
      <c r="D236" s="8">
        <f>IF(flags!D39="","",flags!D39)</f>
        <v/>
      </c>
      <c r="E236">
        <f>IF(flags!E39="","",flags!E39)</f>
        <v/>
      </c>
    </row>
    <row r="237">
      <c r="A237">
        <f>IF(flags!A40="","",flags!A40)</f>
        <v/>
      </c>
      <c r="B237">
        <f>IF(flags!B40="","",flags!B40)</f>
        <v/>
      </c>
      <c r="C237">
        <f>IF(flags!C40="","",flags!C40)</f>
        <v/>
      </c>
      <c r="D237" s="8">
        <f>IF(flags!D40="","",flags!D40)</f>
        <v/>
      </c>
      <c r="E237">
        <f>IF(flags!E40="","",flags!E40)</f>
        <v/>
      </c>
    </row>
    <row r="238">
      <c r="A238">
        <f>IF(flags!A41="","",flags!A41)</f>
        <v/>
      </c>
      <c r="B238">
        <f>IF(flags!B41="","",flags!B41)</f>
        <v/>
      </c>
      <c r="C238">
        <f>IF(flags!C41="","",flags!C41)</f>
        <v/>
      </c>
      <c r="D238" s="8">
        <f>IF(flags!D41="","",flags!D41)</f>
        <v/>
      </c>
      <c r="E238">
        <f>IF(flags!E41="","",flags!E41)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rtmtools display workbook (schema rtm-export-1.0)</t>
        </is>
      </c>
    </row>
    <row r="2">
      <c r="A2" t="inlineStr">
        <is>
          <t>This workbook displays what the Stata commands exported for one run. Stata copies this template into the run folder and fills the sheet</t>
        </is>
      </c>
    </row>
    <row r="3">
      <c r="A3" t="inlineStr">
        <is>
          <t>'manifest' and one sheet per export table (weight_stages, response_classes, calibration_fit, weight_groups, flags, ...) from the same</t>
        </is>
      </c>
    </row>
    <row r="4">
      <c r="A4" t="inlineStr">
        <is>
          <t>CSV files that the dashboard reads. Nothing in this workbook recalculates a statistic: every value on the Weights sheet is a reference</t>
        </is>
      </c>
    </row>
    <row r="5">
      <c r="A5" t="inlineStr">
        <is>
          <t>or a lookup into those sheets, and every chart plots a column of them.</t>
        </is>
      </c>
    </row>
    <row r="6">
      <c r="A6" t="inlineStr"/>
    </row>
    <row r="7">
      <c r="A7" s="3" t="inlineStr">
        <is>
          <t>Formulas used, the complete list: IF, IFERROR, INDEX, MATCH, COUNTIF, COUNTA. IF only blanks out empty rows; IFERROR, INDEX and MATCH</t>
        </is>
      </c>
    </row>
    <row r="8">
      <c r="A8" t="inlineStr">
        <is>
          <t>fetch a value from the manifest; COUNTIF and COUNTA count exported rows. No division, multiplication, power, RAND, PERCENTILE, STDEV, Solver or</t>
        </is>
      </c>
    </row>
    <row r="9">
      <c r="A9" t="inlineStr">
        <is>
          <t>Analysis ToolPak anywhere. tests/check_display.py reads every formula and fails on any other function.</t>
        </is>
      </c>
    </row>
    <row r="10">
      <c r="A10" t="inlineStr"/>
    </row>
    <row r="11">
      <c r="A11" t="inlineStr">
        <is>
          <t>Rounding: values are stored exactly as exported; number formats show three decimals (counts as integers).</t>
        </is>
      </c>
    </row>
    <row r="12">
      <c r="A12" t="inlineStr">
        <is>
          <t>'not in this export' means the step did not produce that value or table.</t>
        </is>
      </c>
    </row>
    <row r="13">
      <c r="A13" t="inlineStr"/>
    </row>
    <row r="14">
      <c r="A14" t="inlineStr">
        <is>
          <t>Source of every table and chart: the CSV file named in its heading, in the run folder next to this workbook.</t>
        </is>
      </c>
    </row>
    <row r="15">
      <c r="A15" t="inlineStr">
        <is>
          <t>To look at another run without Stata: Data &gt; Get Data &gt; From Text/CSV (Power Query) can load that run's CSV files into the</t>
        </is>
      </c>
    </row>
    <row r="16">
      <c r="A16" t="inlineStr">
        <is>
          <t>sheets of the same name, or paste the CSV contents into them; the Weights sheet then shows them. Nothing leaves this computer.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t="inlineStr">
        <is>
          <t>key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unit_id</t>
        </is>
      </c>
      <c r="B1" s="3" t="inlineStr">
        <is>
          <t>stratum</t>
        </is>
      </c>
      <c r="C1" s="3" t="inlineStr">
        <is>
          <t>unit</t>
        </is>
      </c>
      <c r="D1" s="3" t="inlineStr">
        <is>
          <t>size</t>
        </is>
      </c>
      <c r="E1" s="3" t="inlineStr">
        <is>
          <t>x</t>
        </is>
      </c>
      <c r="F1" s="3" t="inlineStr">
        <is>
          <t>y</t>
        </is>
      </c>
      <c r="G1" s="3" t="inlineStr">
        <is>
          <t>flag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stratum</t>
        </is>
      </c>
      <c r="B1" s="3" t="inlineStr">
        <is>
          <t>n_units</t>
        </is>
      </c>
      <c r="C1" s="3" t="inlineStr">
        <is>
          <t>size_sum</t>
        </is>
      </c>
      <c r="D1" s="3" t="inlineStr">
        <is>
          <t>size_min</t>
        </is>
      </c>
      <c r="E1" s="3" t="inlineStr">
        <is>
          <t>size_p50</t>
        </is>
      </c>
      <c r="F1" s="3" t="inlineStr">
        <is>
          <t>size_max</t>
        </is>
      </c>
      <c r="G1" s="3" t="inlineStr">
        <is>
          <t>n_flagged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polygon_id</t>
        </is>
      </c>
      <c r="B1" s="3" t="inlineStr">
        <is>
          <t>part</t>
        </is>
      </c>
      <c r="C1" s="3" t="inlineStr">
        <is>
          <t>vertex</t>
        </is>
      </c>
      <c r="D1" s="3" t="inlineStr">
        <is>
          <t>x</t>
        </is>
      </c>
      <c r="E1" s="3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area_id</t>
        </is>
      </c>
      <c r="B1" s="3" t="inlineStr">
        <is>
          <t>stratum</t>
        </is>
      </c>
      <c r="C1" s="3" t="inlineStr">
        <is>
          <t>expected</t>
        </is>
      </c>
      <c r="D1" s="3" t="inlineStr">
        <is>
          <t>listed</t>
        </is>
      </c>
      <c r="E1" s="3" t="inlineStr">
        <is>
          <t>eligible</t>
        </is>
      </c>
      <c r="F1" s="3" t="inlineStr">
        <is>
          <t>ratio</t>
        </is>
      </c>
      <c r="G1" s="3" t="inlineStr">
        <is>
          <t>segments</t>
        </is>
      </c>
      <c r="H1" s="3" t="inlineStr">
        <is>
          <t>segment_selected</t>
        </is>
      </c>
      <c r="I1" s="3" t="inlineStr">
        <is>
          <t>flag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check</t>
        </is>
      </c>
      <c r="B1" s="3" t="inlineStr">
        <is>
          <t>n</t>
        </is>
      </c>
      <c r="C1" s="3" t="inlineStr">
        <is>
          <t>status</t>
        </is>
      </c>
      <c r="D1" s="3" t="inlineStr">
        <is>
          <t>detail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domain</t>
        </is>
      </c>
      <c r="B1" s="3" t="inlineStr">
        <is>
          <t>p</t>
        </is>
      </c>
      <c r="C1" s="3" t="inlineStr">
        <is>
          <t>margin</t>
        </is>
      </c>
      <c r="D1" s="3" t="inlineStr">
        <is>
          <t>deff</t>
        </is>
      </c>
      <c r="E1" s="3" t="inlineStr">
        <is>
          <t>nonresponse</t>
        </is>
      </c>
      <c r="F1" s="3" t="inlineStr">
        <is>
          <t>attrition</t>
        </is>
      </c>
      <c r="G1" s="3" t="inlineStr">
        <is>
          <t>rounds</t>
        </is>
      </c>
      <c r="H1" s="3" t="inlineStr">
        <is>
          <t>n_effective</t>
        </is>
      </c>
      <c r="I1" s="3" t="inlineStr">
        <is>
          <t>n_final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stratum</t>
        </is>
      </c>
      <c r="B1" s="3" t="inlineStr">
        <is>
          <t>n_units</t>
        </is>
      </c>
      <c r="C1" s="3" t="inlineStr">
        <is>
          <t>size_sum</t>
        </is>
      </c>
      <c r="D1" s="3" t="inlineStr">
        <is>
          <t>share</t>
        </is>
      </c>
      <c r="E1" s="3" t="inlineStr">
        <is>
          <t>n_planned</t>
        </is>
      </c>
      <c r="F1" s="3" t="inlineStr">
        <is>
          <t>n_min</t>
        </is>
      </c>
      <c r="G1" s="3" t="inlineStr">
        <is>
          <t>n_max</t>
        </is>
      </c>
      <c r="H1" s="3" t="inlineStr">
        <is>
          <t>n_final</t>
        </is>
      </c>
      <c r="I1" s="3" t="inlineStr">
        <is>
          <t>sampling_fraction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" t="inlineStr">
        <is>
          <t>unit_id</t>
        </is>
      </c>
      <c r="B1" s="3" t="inlineStr">
        <is>
          <t>stratum</t>
        </is>
      </c>
      <c r="C1" s="3" t="inlineStr">
        <is>
          <t>size</t>
        </is>
      </c>
      <c r="D1" s="3" t="inlineStr">
        <is>
          <t>order</t>
        </is>
      </c>
      <c r="E1" s="3" t="inlineStr">
        <is>
          <t>key</t>
        </is>
      </c>
      <c r="F1" s="3" t="inlineStr">
        <is>
          <t>cum_size</t>
        </is>
      </c>
      <c r="G1" s="3" t="inlineStr">
        <is>
          <t>selection_number</t>
        </is>
      </c>
      <c r="H1" s="3" t="inlineStr">
        <is>
          <t>selected</t>
        </is>
      </c>
      <c r="I1" s="3" t="inlineStr">
        <is>
          <t>reserve</t>
        </is>
      </c>
      <c r="J1" s="3" t="inlineStr">
        <is>
          <t>rank</t>
        </is>
      </c>
      <c r="K1" s="3" t="inlineStr">
        <is>
          <t>prob</t>
        </is>
      </c>
      <c r="L1" s="3" t="inlineStr">
        <is>
          <t>weight</t>
        </is>
      </c>
      <c r="M1" s="3" t="inlineStr">
        <is>
          <t>x</t>
        </is>
      </c>
      <c r="N1" s="3" t="inlineStr">
        <is>
          <t>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stratum</t>
        </is>
      </c>
      <c r="B1" s="3" t="inlineStr">
        <is>
          <t>n_units</t>
        </is>
      </c>
      <c r="C1" s="3" t="inlineStr">
        <is>
          <t>n_selected</t>
        </is>
      </c>
      <c r="D1" s="3" t="inlineStr">
        <is>
          <t>n_reserve</t>
        </is>
      </c>
      <c r="E1" s="3" t="inlineStr">
        <is>
          <t>prob_min</t>
        </is>
      </c>
      <c r="F1" s="3" t="inlineStr">
        <is>
          <t>prob_max</t>
        </is>
      </c>
      <c r="G1" s="3" t="inlineStr">
        <is>
          <t>interval</t>
        </is>
      </c>
      <c r="H1" s="3" t="inlineStr">
        <is>
          <t>random_start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3" t="inlineStr">
        <is>
          <t>stage</t>
        </is>
      </c>
      <c r="B1" s="3" t="inlineStr">
        <is>
          <t>variable</t>
        </is>
      </c>
      <c r="C1" s="3" t="inlineStr">
        <is>
          <t>n</t>
        </is>
      </c>
      <c r="D1" s="3" t="inlineStr">
        <is>
          <t>sum</t>
        </is>
      </c>
      <c r="E1" s="3" t="inlineStr">
        <is>
          <t>min</t>
        </is>
      </c>
      <c r="F1" s="3" t="inlineStr">
        <is>
          <t>p1</t>
        </is>
      </c>
      <c r="G1" s="3" t="inlineStr">
        <is>
          <t>p5</t>
        </is>
      </c>
      <c r="H1" s="3" t="inlineStr">
        <is>
          <t>p25</t>
        </is>
      </c>
      <c r="I1" s="3" t="inlineStr">
        <is>
          <t>p50</t>
        </is>
      </c>
      <c r="J1" s="3" t="inlineStr">
        <is>
          <t>p75</t>
        </is>
      </c>
      <c r="K1" s="3" t="inlineStr">
        <is>
          <t>p95</t>
        </is>
      </c>
      <c r="L1" s="3" t="inlineStr">
        <is>
          <t>p99</t>
        </is>
      </c>
      <c r="M1" s="3" t="inlineStr">
        <is>
          <t>max</t>
        </is>
      </c>
      <c r="N1" s="3" t="inlineStr">
        <is>
          <t>mean</t>
        </is>
      </c>
      <c r="O1" s="3" t="inlineStr">
        <is>
          <t>cv</t>
        </is>
      </c>
      <c r="P1" s="3" t="inlineStr">
        <is>
          <t>kish_deff</t>
        </is>
      </c>
      <c r="Q1" s="3" t="inlineStr">
        <is>
          <t>n_trimmed</t>
        </is>
      </c>
      <c r="R1" s="3" t="inlineStr">
        <is>
          <t>n_zero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stage</t>
        </is>
      </c>
      <c r="B1" s="3" t="inlineStr">
        <is>
          <t>variable</t>
        </is>
      </c>
      <c r="C1" s="3" t="inlineStr">
        <is>
          <t>group_var</t>
        </is>
      </c>
      <c r="D1" s="3" t="inlineStr">
        <is>
          <t>group</t>
        </is>
      </c>
      <c r="E1" s="3" t="inlineStr">
        <is>
          <t>n</t>
        </is>
      </c>
      <c r="F1" s="3" t="inlineStr">
        <is>
          <t>sum</t>
        </is>
      </c>
      <c r="G1" s="3" t="inlineStr">
        <is>
          <t>mean</t>
        </is>
      </c>
      <c r="H1" s="3" t="inlineStr">
        <is>
          <t>cv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class_var</t>
        </is>
      </c>
      <c r="B1" s="3" t="inlineStr">
        <is>
          <t>class</t>
        </is>
      </c>
      <c r="C1" s="3" t="inlineStr">
        <is>
          <t>n_sample</t>
        </is>
      </c>
      <c r="D1" s="3" t="inlineStr">
        <is>
          <t>n_respondents</t>
        </is>
      </c>
      <c r="E1" s="3" t="inlineStr">
        <is>
          <t>response_rate</t>
        </is>
      </c>
      <c r="F1" s="3" t="inlineStr">
        <is>
          <t>factor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constraint</t>
        </is>
      </c>
      <c r="B1" s="3" t="inlineStr">
        <is>
          <t>target</t>
        </is>
      </c>
      <c r="C1" s="3" t="inlineStr">
        <is>
          <t>before</t>
        </is>
      </c>
      <c r="D1" s="3" t="inlineStr">
        <is>
          <t>after</t>
        </is>
      </c>
      <c r="E1" s="3" t="inlineStr">
        <is>
          <t>diff</t>
        </is>
      </c>
      <c r="F1" s="3" t="inlineStr">
        <is>
          <t>rel_diff</t>
        </is>
      </c>
      <c r="G1" s="3" t="inlineStr">
        <is>
          <t>converged</t>
        </is>
      </c>
      <c r="H1" s="3" t="inlineStr">
        <is>
          <t>iterations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unit_id</t>
        </is>
      </c>
      <c r="B1" s="3" t="inlineStr">
        <is>
          <t>stratum</t>
        </is>
      </c>
      <c r="C1" s="3" t="inlineStr">
        <is>
          <t>psu</t>
        </is>
      </c>
      <c r="D1" s="3" t="inlineStr">
        <is>
          <t>flag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table</t>
        </is>
      </c>
      <c r="B1" s="3" t="inlineStr">
        <is>
          <t>unit_id</t>
        </is>
      </c>
      <c r="C1" s="3" t="inlineStr">
        <is>
          <t>stage</t>
        </is>
      </c>
      <c r="D1" s="3" t="inlineStr">
        <is>
          <t>value</t>
        </is>
      </c>
      <c r="E1" s="3" t="inlineStr">
        <is>
          <t>reason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2026-10-25T05:24:57Z</dcterms:created>
  <dcterms:modified xmlns:dcterms="http://purl.org/dc/terms/" xmlns:xsi="http://www.w3.org/2001/XMLSchema-instance" xsi:type="dcterms:W3CDTF">2026-10-25T05:24:57Z</dcterms:modified>
</cp:coreProperties>
</file>