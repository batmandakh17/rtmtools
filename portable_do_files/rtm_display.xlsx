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Frame" sheetId="3" state="visible" r:id="rId3"/>
    <sheet xmlns:r="http://schemas.openxmlformats.org/officeDocument/2006/relationships" name="Listing" sheetId="4" state="visible" r:id="rId4"/>
    <sheet xmlns:r="http://schemas.openxmlformats.org/officeDocument/2006/relationships" name="Inputs" sheetId="5" state="visible" r:id="rId5"/>
    <sheet xmlns:r="http://schemas.openxmlformats.org/officeDocument/2006/relationships" name="Notes" sheetId="6" state="visible" r:id="rId6"/>
    <sheet xmlns:r="http://schemas.openxmlformats.org/officeDocument/2006/relationships" name="manifest" sheetId="7" state="visible" r:id="rId7"/>
    <sheet xmlns:r="http://schemas.openxmlformats.org/officeDocument/2006/relationships" name="frame_units" sheetId="8" state="visible" r:id="rId8"/>
    <sheet xmlns:r="http://schemas.openxmlformats.org/officeDocument/2006/relationships" name="frame_summary" sheetId="9" state="visible" r:id="rId9"/>
    <sheet xmlns:r="http://schemas.openxmlformats.org/officeDocument/2006/relationships" name="boundaries" sheetId="10" state="visible" r:id="rId10"/>
    <sheet xmlns:r="http://schemas.openxmlformats.org/officeDocument/2006/relationships" name="listing_areas" sheetId="11" state="visible" r:id="rId11"/>
    <sheet xmlns:r="http://schemas.openxmlformats.org/officeDocument/2006/relationships" name="listing_checks" sheetId="12" state="visible" r:id="rId12"/>
    <sheet xmlns:r="http://schemas.openxmlformats.org/officeDocument/2006/relationships" name="size" sheetId="13" state="visible" r:id="rId13"/>
    <sheet xmlns:r="http://schemas.openxmlformats.org/officeDocument/2006/relationships" name="allocation" sheetId="14" state="visible" r:id="rId14"/>
    <sheet xmlns:r="http://schemas.openxmlformats.org/officeDocument/2006/relationships" name="selection" sheetId="15" state="visible" r:id="rId15"/>
    <sheet xmlns:r="http://schemas.openxmlformats.org/officeDocument/2006/relationships" name="draw_summary" sheetId="16" state="visible" r:id="rId16"/>
    <sheet xmlns:r="http://schemas.openxmlformats.org/officeDocument/2006/relationships" name="weight_stages" sheetId="17" state="visible" r:id="rId17"/>
    <sheet xmlns:r="http://schemas.openxmlformats.org/officeDocument/2006/relationships" name="weight_groups" sheetId="18" state="visible" r:id="rId18"/>
    <sheet xmlns:r="http://schemas.openxmlformats.org/officeDocument/2006/relationships" name="response_classes" sheetId="19" state="visible" r:id="rId19"/>
    <sheet xmlns:r="http://schemas.openxmlformats.org/officeDocument/2006/relationships" name="calibration_fit" sheetId="20" state="visible" r:id="rId20"/>
    <sheet xmlns:r="http://schemas.openxmlformats.org/officeDocument/2006/relationships" name="weight_units" sheetId="21" state="visible" r:id="rId21"/>
    <sheet xmlns:r="http://schemas.openxmlformats.org/officeDocument/2006/relationships" name="flags" sheetId="22" state="visible" r:id="rId22"/>
    <sheet xmlns:r="http://schemas.openxmlformats.org/officeDocument/2006/relationships" name="replacements" sheetId="23" state="visible" r:id="rId23"/>
    <sheet xmlns:r="http://schemas.openxmlformats.org/officeDocument/2006/relationships" name="input_check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00"/>
    <numFmt numFmtId="166" formatCode="0.000000"/>
    <numFmt numFmtId="167" formatCode="0.0000"/>
    <numFmt numFmtId="168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0" fontId="3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8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CV of the weights by stage (weight_stages.csv)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'Weights'!O58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'Weights'!$A$59:$A$70</f>
            </numRef>
          </cat>
          <val>
            <numRef>
              <f>'Weights'!$O$59:$O$70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CV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Kish's 1+CV2 by stage (weight_stages.csv)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'Weights'!P58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'Weights'!$A$59:$A$70</f>
            </numRef>
          </cat>
          <val>
            <numRef>
              <f>'Weights'!$P$59:$P$70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Response rate by class (response_classes.csv)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'Weights'!E88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'Weights'!$B$89:$B$118</f>
            </numRef>
          </cat>
          <val>
            <numRef>
              <f>'Weights'!$E$89:$E$118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Adjustment factor by class (response_classes.csv)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'Weights'!F88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'Weights'!$B$89:$B$118</f>
            </numRef>
          </cat>
          <val>
            <numRef>
              <f>'Weights'!$F$89:$F$118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and achieved totals (calibration_fit.csv)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'Weights'!B121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'Weights'!$A$122:$A$151</f>
            </numRef>
          </cat>
          <val>
            <numRef>
              <f>'Weights'!$B$122:$B$151</f>
            </numRef>
          </val>
        </ser>
        <ser>
          <idx val="1"/>
          <order val="1"/>
          <tx>
            <strRef>
              <f>'Weights'!C121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'Weights'!$A$122:$A$151</f>
            </numRef>
          </cat>
          <val>
            <numRef>
              <f>'Weights'!$C$122:$C$151</f>
            </numRef>
          </val>
        </ser>
        <ser>
          <idx val="2"/>
          <order val="2"/>
          <tx>
            <strRef>
              <f>'Weights'!D121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'Weights'!$A$122:$A$151</f>
            </numRef>
          </cat>
          <val>
            <numRef>
              <f>'Weights'!$D$122:$D$151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and final allocation by stratum (allocation.csv)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'Sampling'!E40</f>
            </strRef>
          </tx>
          <spPr>
            <a:ln xmlns:a="http://schemas.openxmlformats.org/drawingml/2006/main">
              <a:prstDash val="solid"/>
            </a:ln>
          </spPr>
          <cat>
            <numRef>
              <f>'Sampling'!$A$41:$A$80</f>
            </numRef>
          </cat>
          <val>
            <numRef>
              <f>'Sampling'!$E$41:$E$80</f>
            </numRef>
          </val>
        </ser>
        <ser>
          <idx val="1"/>
          <order val="1"/>
          <tx>
            <strRef>
              <f>'Sampling'!H40</f>
            </strRef>
          </tx>
          <spPr>
            <a:ln xmlns:a="http://schemas.openxmlformats.org/drawingml/2006/main">
              <a:prstDash val="solid"/>
            </a:ln>
          </spPr>
          <cat>
            <numRef>
              <f>'Sampling'!$A$41:$A$80</f>
            </numRef>
          </cat>
          <val>
            <numRef>
              <f>'Sampling'!$H$41:$H$80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Inclusion probability, min and max by stratum (draw_summary.csv)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'Sampling'!E83</f>
            </strRef>
          </tx>
          <spPr>
            <a:ln xmlns:a="http://schemas.openxmlformats.org/drawingml/2006/main">
              <a:prstDash val="solid"/>
            </a:ln>
          </spPr>
          <cat>
            <numRef>
              <f>'Sampling'!$A$84:$A$123</f>
            </numRef>
          </cat>
          <val>
            <numRef>
              <f>'Sampling'!$E$84:$E$123</f>
            </numRef>
          </val>
        </ser>
        <ser>
          <idx val="1"/>
          <order val="1"/>
          <tx>
            <strRef>
              <f>'Sampling'!F83</f>
            </strRef>
          </tx>
          <spPr>
            <a:ln xmlns:a="http://schemas.openxmlformats.org/drawingml/2006/main">
              <a:prstDash val="solid"/>
            </a:ln>
          </spPr>
          <cat>
            <numRef>
              <f>'Sampling'!$A$84:$A$123</f>
            </numRef>
          </cat>
          <val>
            <numRef>
              <f>'Sampling'!$F$84:$F$123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Selected units (dark) and the rest of the frame (selection.csv x, y)</a:t>
            </a:r>
          </a:p>
        </rich>
      </tx>
    </title>
    <plotArea>
      <scatterChart>
        <ser>
          <idx val="0"/>
          <order val="0"/>
          <tx>
            <v>frame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'Sampling'!$W$5:$W$2004</f>
            </numRef>
          </xVal>
          <yVal>
            <numRef>
              <f>'Sampling'!$X$5:$X$2004</f>
            </numRef>
          </yVal>
        </ser>
        <ser>
          <idx val="1"/>
          <order val="1"/>
          <tx>
            <v>selected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'Sampling'!$U$5:$U$2004</f>
            </numRef>
          </xVal>
          <yVal>
            <numRef>
              <f>'Sampling'!$V$5:$V$2004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Size (population or households) by stratum (frame_summary.csv)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'Frame'!C35</f>
            </strRef>
          </tx>
          <spPr>
            <a:ln xmlns:a="http://schemas.openxmlformats.org/drawingml/2006/main">
              <a:prstDash val="solid"/>
            </a:ln>
          </spPr>
          <cat>
            <numRef>
              <f>'Frame'!$A$36:$A$75</f>
            </numRef>
          </cat>
          <val>
            <numRef>
              <f>'Frame'!$C$36:$C$75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Flagged units by stratum (frame_summary.csv)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'Frame'!G35</f>
            </strRef>
          </tx>
          <spPr>
            <a:ln xmlns:a="http://schemas.openxmlformats.org/drawingml/2006/main">
              <a:prstDash val="solid"/>
            </a:ln>
          </spPr>
          <cat>
            <numRef>
              <f>'Frame'!$A$36:$A$75</f>
            </numRef>
          </cat>
          <val>
            <numRef>
              <f>'Frame'!$G$36:$G$75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or cells of the frame (frame_units.csv x, y)</a:t>
            </a:r>
          </a:p>
        </rich>
      </tx>
    </title>
    <plotArea>
      <scatterChart>
        <ser>
          <idx val="0"/>
          <order val="0"/>
          <tx>
            <v>units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'Frame'!$U$5:$U$2004</f>
            </numRef>
          </xVal>
          <yVal>
            <numRef>
              <f>'Frame'!$V$5:$V$2004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Listed against expected households by area (listing_areas.csv)</a:t>
            </a:r>
          </a:p>
        </rich>
      </tx>
    </title>
    <plotArea>
      <scatterChart>
        <ser>
          <idx val="0"/>
          <order val="0"/>
          <tx>
            <v>areas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'Listing'!$U$5:$U$504</f>
            </numRef>
          </xVal>
          <yVal>
            <numRef>
              <f>'Listing'!$V$5:$V$504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71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87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102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120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39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82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69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34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49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61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41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Weights: what Stata exported for this run</t>
        </is>
      </c>
    </row>
    <row r="2">
      <c r="A2" s="2" t="inlineStr">
        <is>
          <t>Every number on this sheet is read from the manifest and the table sheets of the export; nothing is recalculated here (see Notes).</t>
        </is>
      </c>
    </row>
    <row r="4">
      <c r="A4" s="3" t="inlineStr">
        <is>
          <t>Run</t>
        </is>
      </c>
    </row>
    <row r="5">
      <c r="A5" t="inlineStr">
        <is>
          <t>Run id</t>
        </is>
      </c>
      <c r="B5" s="4">
        <f>IFERROR(INDEX(manifest!$B:$B,MATCH("run_id",manifest!$A:$A,0)),"not in this export")</f>
        <v/>
      </c>
    </row>
    <row r="6">
      <c r="A6" t="inlineStr">
        <is>
          <t>Workflow</t>
        </is>
      </c>
      <c r="B6" s="4">
        <f>IFERROR(INDEX(manifest!$B:$B,MATCH("workflow",manifest!$A:$A,0)),"not in this export")</f>
        <v/>
      </c>
    </row>
    <row r="7">
      <c r="A7" t="inlineStr">
        <is>
          <t>Step</t>
        </is>
      </c>
      <c r="B7" s="4">
        <f>IFERROR(INDEX(manifest!$B:$B,MATCH("step",manifest!$A:$A,0)),"not in this export")</f>
        <v/>
      </c>
    </row>
    <row r="8">
      <c r="A8" t="inlineStr">
        <is>
          <t>Started</t>
        </is>
      </c>
      <c r="B8" s="4">
        <f>IFERROR(INDEX(manifest!$B:$B,MATCH("started",manifest!$A:$A,0)),"not in this export")</f>
        <v/>
      </c>
    </row>
    <row r="9">
      <c r="A9" t="inlineStr">
        <is>
          <t>Finished</t>
        </is>
      </c>
      <c r="B9" s="4">
        <f>IFERROR(INDEX(manifest!$B:$B,MATCH("finished",manifest!$A:$A,0)),"not in this export")</f>
        <v/>
      </c>
    </row>
    <row r="10">
      <c r="A10" t="inlineStr">
        <is>
          <t>Status</t>
        </is>
      </c>
      <c r="B10" s="4">
        <f>IFERROR(INDEX(manifest!$B:$B,MATCH("status",manifest!$A:$A,0)),"not in this export")</f>
        <v/>
      </c>
    </row>
    <row r="11">
      <c r="A11" t="inlineStr">
        <is>
          <t>Source (ado or do-file)</t>
        </is>
      </c>
      <c r="B11" s="4">
        <f>IFERROR(INDEX(manifest!$B:$B,MATCH("source",manifest!$A:$A,0)),"not in this export")</f>
        <v/>
      </c>
    </row>
    <row r="12">
      <c r="A12" t="inlineStr">
        <is>
          <t>Software</t>
        </is>
      </c>
      <c r="B12" s="4">
        <f>IFERROR(INDEX(manifest!$B:$B,MATCH("software",manifest!$A:$A,0)),"not in this export")</f>
        <v/>
      </c>
    </row>
    <row r="13">
      <c r="A13" t="inlineStr">
        <is>
          <t>Input file</t>
        </is>
      </c>
      <c r="B13" s="4">
        <f>IFERROR(INDEX(manifest!$B:$B,MATCH("input_file",manifest!$A:$A,0)),"not in this export")</f>
        <v/>
      </c>
    </row>
    <row r="14">
      <c r="A14" t="inlineStr">
        <is>
          <t>Input rows</t>
        </is>
      </c>
      <c r="B14" s="4">
        <f>IFERROR(INDEX(manifest!$B:$B,MATCH("input_rows",manifest!$A:$A,0)),"not in this export")</f>
        <v/>
      </c>
    </row>
    <row r="15">
      <c r="A15" t="inlineStr">
        <is>
          <t>Command</t>
        </is>
      </c>
      <c r="B15" s="4">
        <f>IFERROR(INDEX(manifest!$B:$B,MATCH("command",manifest!$A:$A,0)),"not in this export")</f>
        <v/>
      </c>
    </row>
    <row r="17">
      <c r="A17" s="3" t="inlineStr">
        <is>
          <t>Settings (as recorded by Stata, with the source of the default)</t>
        </is>
      </c>
    </row>
    <row r="18">
      <c r="A18" t="inlineStr">
        <is>
          <t>Method</t>
        </is>
      </c>
      <c r="B18" s="4">
        <f>IFERROR(INDEX(manifest!$B:$B,MATCH("setting_method",manifest!$A:$A,0)),"not in this export")</f>
        <v/>
      </c>
    </row>
    <row r="19">
      <c r="A19" t="inlineStr">
        <is>
          <t>Method source</t>
        </is>
      </c>
      <c r="B19" s="4">
        <f>IFERROR(INDEX(manifest!$B:$B,MATCH("source_method",manifest!$A:$A,0)),"not in this export")</f>
        <v/>
      </c>
    </row>
    <row r="20">
      <c r="A20" t="inlineStr">
        <is>
          <t>Covariates</t>
        </is>
      </c>
      <c r="B20" s="4">
        <f>IFERROR(INDEX(manifest!$B:$B,MATCH("setting_covariates",manifest!$A:$A,0)),"not in this export")</f>
        <v/>
      </c>
    </row>
    <row r="21">
      <c r="A21" t="inlineStr">
        <is>
          <t>Classes</t>
        </is>
      </c>
      <c r="B21" s="4">
        <f>IFERROR(INDEX(manifest!$B:$B,MATCH("setting_classes",manifest!$A:$A,0)),"not in this export")</f>
        <v/>
      </c>
    </row>
    <row r="22">
      <c r="A22" t="inlineStr">
        <is>
          <t>Cells</t>
        </is>
      </c>
      <c r="B22" s="4">
        <f>IFERROR(INDEX(manifest!$B:$B,MATCH("setting_cells",manifest!$A:$A,0)),"not in this export")</f>
        <v/>
      </c>
    </row>
    <row r="23">
      <c r="A23" t="inlineStr">
        <is>
          <t>Moments</t>
        </is>
      </c>
      <c r="B23" s="4">
        <f>IFERROR(INDEX(manifest!$B:$B,MATCH("setting_moments",manifest!$A:$A,0)),"not in this export")</f>
        <v/>
      </c>
    </row>
    <row r="24">
      <c r="A24" t="inlineStr">
        <is>
          <t>Propensity groups</t>
        </is>
      </c>
      <c r="B24" s="4">
        <f>IFERROR(INDEX(manifest!$B:$B,MATCH("setting_ngroups",manifest!$A:$A,0)),"not in this export")</f>
        <v/>
      </c>
    </row>
    <row r="25">
      <c r="A25" t="inlineStr">
        <is>
          <t>Trimming rule</t>
        </is>
      </c>
      <c r="B25" s="4">
        <f>IFERROR(INDEX(manifest!$B:$B,MATCH("setting_rule",manifest!$A:$A,0)),"not in this export")</f>
        <v/>
      </c>
    </row>
    <row r="26">
      <c r="A26" t="inlineStr">
        <is>
          <t>Trimming percentile</t>
        </is>
      </c>
      <c r="B26" s="4">
        <f>IFERROR(INDEX(manifest!$B:$B,MATCH("setting_pct",manifest!$A:$A,0)),"not in this export")</f>
        <v/>
      </c>
    </row>
    <row r="27">
      <c r="A27" t="inlineStr">
        <is>
          <t>Calibration engine</t>
        </is>
      </c>
      <c r="B27" s="4">
        <f>IFERROR(INDEX(manifest!$B:$B,MATCH("setting_engine",manifest!$A:$A,0)),"not in this export")</f>
        <v/>
      </c>
    </row>
    <row r="28">
      <c r="A28" t="inlineStr">
        <is>
          <t>Calibration variables</t>
        </is>
      </c>
      <c r="B28" s="4">
        <f>IFERROR(INDEX(manifest!$B:$B,MATCH("setting_calibration_variables",manifest!$A:$A,0)),"not in this export")</f>
        <v/>
      </c>
    </row>
    <row r="29">
      <c r="A29" t="inlineStr">
        <is>
          <t>Bounds</t>
        </is>
      </c>
      <c r="B29" s="4">
        <f>IFERROR(INDEX(manifest!$B:$B,MATCH("setting_bounds",manifest!$A:$A,0)),"not in this export")</f>
        <v/>
      </c>
    </row>
    <row r="30">
      <c r="A30" t="inlineStr">
        <is>
          <t>Input weight</t>
        </is>
      </c>
      <c r="B30" s="4">
        <f>IFERROR(INDEX(manifest!$B:$B,MATCH("setting_weight",manifest!$A:$A,0)),"not in this export")</f>
        <v/>
      </c>
    </row>
    <row r="31">
      <c r="A31" t="inlineStr">
        <is>
          <t>New weight</t>
        </is>
      </c>
      <c r="B31" s="4">
        <f>IFERROR(INDEX(manifest!$B:$B,MATCH("setting_generate",manifest!$A:$A,0)),"not in this export")</f>
        <v/>
      </c>
    </row>
    <row r="33">
      <c r="A33" s="3" t="inlineStr">
        <is>
          <t>Key numbers (r() results of the command)</t>
        </is>
      </c>
    </row>
    <row r="34">
      <c r="A34" t="inlineStr">
        <is>
          <t>Eligible sample</t>
        </is>
      </c>
      <c r="B34" s="5">
        <f>IFERROR(INDEX(manifest!$B:$B,MATCH("summary_N_sample",manifest!$A:$A,0)),"not in this export")</f>
        <v/>
      </c>
    </row>
    <row r="35">
      <c r="A35" t="inlineStr">
        <is>
          <t>Respondents</t>
        </is>
      </c>
      <c r="B35" s="5">
        <f>IFERROR(INDEX(manifest!$B:$B,MATCH("summary_N_resp",manifest!$A:$A,0)),"not in this export")</f>
        <v/>
      </c>
    </row>
    <row r="36">
      <c r="A36" t="inlineStr">
        <is>
          <t>Response rate, unweighted</t>
        </is>
      </c>
      <c r="B36" s="5">
        <f>IFERROR(INDEX(manifest!$B:$B,MATCH("summary_rr_unweighted",manifest!$A:$A,0)),"not in this export")</f>
        <v/>
      </c>
    </row>
    <row r="37">
      <c r="A37" t="inlineStr">
        <is>
          <t>Response rate, weighted</t>
        </is>
      </c>
      <c r="B37" s="5">
        <f>IFERROR(INDEX(manifest!$B:$B,MATCH("summary_rr_weighted",manifest!$A:$A,0)),"not in this export")</f>
        <v/>
      </c>
    </row>
    <row r="38">
      <c r="A38" t="inlineStr">
        <is>
          <t>Sum of base weights</t>
        </is>
      </c>
      <c r="B38" s="5">
        <f>IFERROR(INDEX(manifest!$B:$B,MATCH("summary_sum_base",manifest!$A:$A,0)),"not in this export")</f>
        <v/>
      </c>
    </row>
    <row r="39">
      <c r="A39" t="inlineStr">
        <is>
          <t>Sum of adjusted weights</t>
        </is>
      </c>
      <c r="B39" s="5">
        <f>IFERROR(INDEX(manifest!$B:$B,MATCH("summary_sum_adj",manifest!$A:$A,0)),"not in this export")</f>
        <v/>
      </c>
    </row>
    <row r="40">
      <c r="A40" t="inlineStr">
        <is>
          <t>Adjustment factor, min</t>
        </is>
      </c>
      <c r="B40" s="5">
        <f>IFERROR(INDEX(manifest!$B:$B,MATCH("summary_factor_min",manifest!$A:$A,0)),"not in this export")</f>
        <v/>
      </c>
    </row>
    <row r="41">
      <c r="A41" t="inlineStr">
        <is>
          <t>Adjustment factor, median</t>
        </is>
      </c>
      <c r="B41" s="5">
        <f>IFERROR(INDEX(manifest!$B:$B,MATCH("summary_factor_p50",manifest!$A:$A,0)),"not in this export")</f>
        <v/>
      </c>
    </row>
    <row r="42">
      <c r="A42" t="inlineStr">
        <is>
          <t>Adjustment factor, max</t>
        </is>
      </c>
      <c r="B42" s="5">
        <f>IFERROR(INDEX(manifest!$B:$B,MATCH("summary_factor_max",manifest!$A:$A,0)),"not in this export")</f>
        <v/>
      </c>
    </row>
    <row r="43">
      <c r="A43" t="inlineStr">
        <is>
          <t>Largest relative difference to the targets</t>
        </is>
      </c>
      <c r="B43" s="5">
        <f>IFERROR(INDEX(manifest!$B:$B,MATCH("summary_max_rel_diff",manifest!$A:$A,0)),"not in this export")</f>
        <v/>
      </c>
    </row>
    <row r="44">
      <c r="A44" t="inlineStr">
        <is>
          <t>ebalance cross-check, max relative difference</t>
        </is>
      </c>
      <c r="B44" s="5">
        <f>IFERROR(INDEX(manifest!$B:$B,MATCH("summary_ebalance_maxreldiff",manifest!$A:$A,0)),"not in this export")</f>
        <v/>
      </c>
    </row>
    <row r="45">
      <c r="A45" t="inlineStr">
        <is>
          <t>Weights lowered by trimming</t>
        </is>
      </c>
      <c r="B45" s="5">
        <f>IFERROR(INDEX(manifest!$B:$B,MATCH("summary_n_trimmed_high",manifest!$A:$A,0)),"not in this export")</f>
        <v/>
      </c>
    </row>
    <row r="46">
      <c r="A46" t="inlineStr">
        <is>
          <t>Weights raised by trimming</t>
        </is>
      </c>
      <c r="B46" s="5">
        <f>IFERROR(INDEX(manifest!$B:$B,MATCH("summary_n_trimmed_low",manifest!$A:$A,0)),"not in this export")</f>
        <v/>
      </c>
    </row>
    <row r="47">
      <c r="A47" t="inlineStr">
        <is>
          <t>Kish 1+CV2 before</t>
        </is>
      </c>
      <c r="B47" s="5">
        <f>IFERROR(INDEX(manifest!$B:$B,MATCH("summary_kish_before",manifest!$A:$A,0)),"not in this export")</f>
        <v/>
      </c>
    </row>
    <row r="48">
      <c r="A48" t="inlineStr">
        <is>
          <t>Kish 1+CV2 after</t>
        </is>
      </c>
      <c r="B48" s="5">
        <f>IFERROR(INDEX(manifest!$B:$B,MATCH("summary_kish_after",manifest!$A:$A,0)),"not in this export")</f>
        <v/>
      </c>
    </row>
    <row r="49">
      <c r="A49" t="inlineStr">
        <is>
          <t>Kish 1+CV2</t>
        </is>
      </c>
      <c r="B49" s="5">
        <f>IFERROR(INDEX(manifest!$B:$B,MATCH("summary_kish",manifest!$A:$A,0)),"not in this export")</f>
        <v/>
      </c>
    </row>
    <row r="50">
      <c r="A50" t="inlineStr">
        <is>
          <t>CV of the weights</t>
        </is>
      </c>
      <c r="B50" s="5">
        <f>IFERROR(INDEX(manifest!$B:$B,MATCH("summary_cv",manifest!$A:$A,0)),"not in this export")</f>
        <v/>
      </c>
    </row>
    <row r="51">
      <c r="A51" t="inlineStr">
        <is>
          <t>Population total</t>
        </is>
      </c>
      <c r="B51" s="5">
        <f>IFERROR(INDEX(manifest!$B:$B,MATCH("summary_N_pop",manifest!$A:$A,0)),"not in this export")</f>
        <v/>
      </c>
    </row>
    <row r="52">
      <c r="A52" t="inlineStr">
        <is>
          <t>Population in cells with no respondent</t>
        </is>
      </c>
      <c r="B52" s="5">
        <f>IFERROR(INDEX(manifest!$B:$B,MATCH("summary_population_uncovered",manifest!$A:$A,0)),"not in this export")</f>
        <v/>
      </c>
    </row>
    <row r="53">
      <c r="A53" t="inlineStr">
        <is>
          <t>Households</t>
        </is>
      </c>
      <c r="B53" s="5">
        <f>IFERROR(INDEX(manifest!$B:$B,MATCH("summary_N_hh",manifest!$A:$A,0)),"not in this export")</f>
        <v/>
      </c>
    </row>
    <row r="54">
      <c r="A54" t="inlineStr">
        <is>
          <t>Sum of population weights</t>
        </is>
      </c>
      <c r="B54" s="5">
        <f>IFERROR(INDEX(manifest!$B:$B,MATCH("summary_sum_pop",manifest!$A:$A,0)),"not in this export")</f>
        <v/>
      </c>
    </row>
    <row r="55">
      <c r="A55" t="inlineStr">
        <is>
          <t>Sum of household weights</t>
        </is>
      </c>
      <c r="B55" s="5">
        <f>IFERROR(INDEX(manifest!$B:$B,MATCH("summary_sum_hh",manifest!$A:$A,0)),"not in this export")</f>
        <v/>
      </c>
    </row>
    <row r="57">
      <c r="A57" s="3" t="inlineStr">
        <is>
          <t>Weight stages (weight_stages.csv)</t>
        </is>
      </c>
    </row>
    <row r="58">
      <c r="A58" s="6" t="inlineStr">
        <is>
          <t>stage</t>
        </is>
      </c>
      <c r="B58" s="6" t="inlineStr">
        <is>
          <t>variable</t>
        </is>
      </c>
      <c r="C58" s="6" t="inlineStr">
        <is>
          <t>n</t>
        </is>
      </c>
      <c r="D58" s="6" t="inlineStr">
        <is>
          <t>sum</t>
        </is>
      </c>
      <c r="E58" s="6" t="inlineStr">
        <is>
          <t>min</t>
        </is>
      </c>
      <c r="F58" s="6" t="inlineStr">
        <is>
          <t>p1</t>
        </is>
      </c>
      <c r="G58" s="6" t="inlineStr">
        <is>
          <t>p5</t>
        </is>
      </c>
      <c r="H58" s="6" t="inlineStr">
        <is>
          <t>p25</t>
        </is>
      </c>
      <c r="I58" s="6" t="inlineStr">
        <is>
          <t>p50</t>
        </is>
      </c>
      <c r="J58" s="6" t="inlineStr">
        <is>
          <t>p75</t>
        </is>
      </c>
      <c r="K58" s="6" t="inlineStr">
        <is>
          <t>p95</t>
        </is>
      </c>
      <c r="L58" s="6" t="inlineStr">
        <is>
          <t>p99</t>
        </is>
      </c>
      <c r="M58" s="6" t="inlineStr">
        <is>
          <t>max</t>
        </is>
      </c>
      <c r="N58" s="6" t="inlineStr">
        <is>
          <t>mean</t>
        </is>
      </c>
      <c r="O58" s="6" t="inlineStr">
        <is>
          <t>cv</t>
        </is>
      </c>
      <c r="P58" s="6" t="inlineStr">
        <is>
          <t>kish_deff</t>
        </is>
      </c>
      <c r="Q58" s="6" t="inlineStr">
        <is>
          <t>n_trimmed</t>
        </is>
      </c>
      <c r="R58" s="6" t="inlineStr">
        <is>
          <t>n_zero</t>
        </is>
      </c>
    </row>
    <row r="59">
      <c r="A59">
        <f>IF(weight_stages!A2="","",weight_stages!A2)</f>
        <v/>
      </c>
      <c r="B59">
        <f>IF(weight_stages!B2="","",weight_stages!B2)</f>
        <v/>
      </c>
      <c r="C59" s="7">
        <f>IF(weight_stages!C2="","",weight_stages!C2)</f>
        <v/>
      </c>
      <c r="D59" s="8">
        <f>IF(weight_stages!D2="","",weight_stages!D2)</f>
        <v/>
      </c>
      <c r="E59" s="8">
        <f>IF(weight_stages!E2="","",weight_stages!E2)</f>
        <v/>
      </c>
      <c r="F59" s="8">
        <f>IF(weight_stages!F2="","",weight_stages!F2)</f>
        <v/>
      </c>
      <c r="G59" s="8">
        <f>IF(weight_stages!G2="","",weight_stages!G2)</f>
        <v/>
      </c>
      <c r="H59" s="8">
        <f>IF(weight_stages!H2="","",weight_stages!H2)</f>
        <v/>
      </c>
      <c r="I59" s="8">
        <f>IF(weight_stages!I2="","",weight_stages!I2)</f>
        <v/>
      </c>
      <c r="J59" s="8">
        <f>IF(weight_stages!J2="","",weight_stages!J2)</f>
        <v/>
      </c>
      <c r="K59" s="8">
        <f>IF(weight_stages!K2="","",weight_stages!K2)</f>
        <v/>
      </c>
      <c r="L59" s="8">
        <f>IF(weight_stages!L2="","",weight_stages!L2)</f>
        <v/>
      </c>
      <c r="M59" s="8">
        <f>IF(weight_stages!M2="","",weight_stages!M2)</f>
        <v/>
      </c>
      <c r="N59" s="8">
        <f>IF(weight_stages!N2="","",weight_stages!N2)</f>
        <v/>
      </c>
      <c r="O59" s="8">
        <f>IF(weight_stages!O2="","",weight_stages!O2)</f>
        <v/>
      </c>
      <c r="P59" s="8">
        <f>IF(weight_stages!P2="","",weight_stages!P2)</f>
        <v/>
      </c>
      <c r="Q59" s="7">
        <f>IF(weight_stages!Q2="","",weight_stages!Q2)</f>
        <v/>
      </c>
      <c r="R59" s="7">
        <f>IF(weight_stages!R2="","",weight_stages!R2)</f>
        <v/>
      </c>
    </row>
    <row r="60">
      <c r="A60">
        <f>IF(weight_stages!A3="","",weight_stages!A3)</f>
        <v/>
      </c>
      <c r="B60">
        <f>IF(weight_stages!B3="","",weight_stages!B3)</f>
        <v/>
      </c>
      <c r="C60" s="7">
        <f>IF(weight_stages!C3="","",weight_stages!C3)</f>
        <v/>
      </c>
      <c r="D60" s="8">
        <f>IF(weight_stages!D3="","",weight_stages!D3)</f>
        <v/>
      </c>
      <c r="E60" s="8">
        <f>IF(weight_stages!E3="","",weight_stages!E3)</f>
        <v/>
      </c>
      <c r="F60" s="8">
        <f>IF(weight_stages!F3="","",weight_stages!F3)</f>
        <v/>
      </c>
      <c r="G60" s="8">
        <f>IF(weight_stages!G3="","",weight_stages!G3)</f>
        <v/>
      </c>
      <c r="H60" s="8">
        <f>IF(weight_stages!H3="","",weight_stages!H3)</f>
        <v/>
      </c>
      <c r="I60" s="8">
        <f>IF(weight_stages!I3="","",weight_stages!I3)</f>
        <v/>
      </c>
      <c r="J60" s="8">
        <f>IF(weight_stages!J3="","",weight_stages!J3)</f>
        <v/>
      </c>
      <c r="K60" s="8">
        <f>IF(weight_stages!K3="","",weight_stages!K3)</f>
        <v/>
      </c>
      <c r="L60" s="8">
        <f>IF(weight_stages!L3="","",weight_stages!L3)</f>
        <v/>
      </c>
      <c r="M60" s="8">
        <f>IF(weight_stages!M3="","",weight_stages!M3)</f>
        <v/>
      </c>
      <c r="N60" s="8">
        <f>IF(weight_stages!N3="","",weight_stages!N3)</f>
        <v/>
      </c>
      <c r="O60" s="8">
        <f>IF(weight_stages!O3="","",weight_stages!O3)</f>
        <v/>
      </c>
      <c r="P60" s="8">
        <f>IF(weight_stages!P3="","",weight_stages!P3)</f>
        <v/>
      </c>
      <c r="Q60" s="7">
        <f>IF(weight_stages!Q3="","",weight_stages!Q3)</f>
        <v/>
      </c>
      <c r="R60" s="7">
        <f>IF(weight_stages!R3="","",weight_stages!R3)</f>
        <v/>
      </c>
    </row>
    <row r="61">
      <c r="A61">
        <f>IF(weight_stages!A4="","",weight_stages!A4)</f>
        <v/>
      </c>
      <c r="B61">
        <f>IF(weight_stages!B4="","",weight_stages!B4)</f>
        <v/>
      </c>
      <c r="C61" s="7">
        <f>IF(weight_stages!C4="","",weight_stages!C4)</f>
        <v/>
      </c>
      <c r="D61" s="8">
        <f>IF(weight_stages!D4="","",weight_stages!D4)</f>
        <v/>
      </c>
      <c r="E61" s="8">
        <f>IF(weight_stages!E4="","",weight_stages!E4)</f>
        <v/>
      </c>
      <c r="F61" s="8">
        <f>IF(weight_stages!F4="","",weight_stages!F4)</f>
        <v/>
      </c>
      <c r="G61" s="8">
        <f>IF(weight_stages!G4="","",weight_stages!G4)</f>
        <v/>
      </c>
      <c r="H61" s="8">
        <f>IF(weight_stages!H4="","",weight_stages!H4)</f>
        <v/>
      </c>
      <c r="I61" s="8">
        <f>IF(weight_stages!I4="","",weight_stages!I4)</f>
        <v/>
      </c>
      <c r="J61" s="8">
        <f>IF(weight_stages!J4="","",weight_stages!J4)</f>
        <v/>
      </c>
      <c r="K61" s="8">
        <f>IF(weight_stages!K4="","",weight_stages!K4)</f>
        <v/>
      </c>
      <c r="L61" s="8">
        <f>IF(weight_stages!L4="","",weight_stages!L4)</f>
        <v/>
      </c>
      <c r="M61" s="8">
        <f>IF(weight_stages!M4="","",weight_stages!M4)</f>
        <v/>
      </c>
      <c r="N61" s="8">
        <f>IF(weight_stages!N4="","",weight_stages!N4)</f>
        <v/>
      </c>
      <c r="O61" s="8">
        <f>IF(weight_stages!O4="","",weight_stages!O4)</f>
        <v/>
      </c>
      <c r="P61" s="8">
        <f>IF(weight_stages!P4="","",weight_stages!P4)</f>
        <v/>
      </c>
      <c r="Q61" s="7">
        <f>IF(weight_stages!Q4="","",weight_stages!Q4)</f>
        <v/>
      </c>
      <c r="R61" s="7">
        <f>IF(weight_stages!R4="","",weight_stages!R4)</f>
        <v/>
      </c>
    </row>
    <row r="62">
      <c r="A62">
        <f>IF(weight_stages!A5="","",weight_stages!A5)</f>
        <v/>
      </c>
      <c r="B62">
        <f>IF(weight_stages!B5="","",weight_stages!B5)</f>
        <v/>
      </c>
      <c r="C62" s="7">
        <f>IF(weight_stages!C5="","",weight_stages!C5)</f>
        <v/>
      </c>
      <c r="D62" s="8">
        <f>IF(weight_stages!D5="","",weight_stages!D5)</f>
        <v/>
      </c>
      <c r="E62" s="8">
        <f>IF(weight_stages!E5="","",weight_stages!E5)</f>
        <v/>
      </c>
      <c r="F62" s="8">
        <f>IF(weight_stages!F5="","",weight_stages!F5)</f>
        <v/>
      </c>
      <c r="G62" s="8">
        <f>IF(weight_stages!G5="","",weight_stages!G5)</f>
        <v/>
      </c>
      <c r="H62" s="8">
        <f>IF(weight_stages!H5="","",weight_stages!H5)</f>
        <v/>
      </c>
      <c r="I62" s="8">
        <f>IF(weight_stages!I5="","",weight_stages!I5)</f>
        <v/>
      </c>
      <c r="J62" s="8">
        <f>IF(weight_stages!J5="","",weight_stages!J5)</f>
        <v/>
      </c>
      <c r="K62" s="8">
        <f>IF(weight_stages!K5="","",weight_stages!K5)</f>
        <v/>
      </c>
      <c r="L62" s="8">
        <f>IF(weight_stages!L5="","",weight_stages!L5)</f>
        <v/>
      </c>
      <c r="M62" s="8">
        <f>IF(weight_stages!M5="","",weight_stages!M5)</f>
        <v/>
      </c>
      <c r="N62" s="8">
        <f>IF(weight_stages!N5="","",weight_stages!N5)</f>
        <v/>
      </c>
      <c r="O62" s="8">
        <f>IF(weight_stages!O5="","",weight_stages!O5)</f>
        <v/>
      </c>
      <c r="P62" s="8">
        <f>IF(weight_stages!P5="","",weight_stages!P5)</f>
        <v/>
      </c>
      <c r="Q62" s="7">
        <f>IF(weight_stages!Q5="","",weight_stages!Q5)</f>
        <v/>
      </c>
      <c r="R62" s="7">
        <f>IF(weight_stages!R5="","",weight_stages!R5)</f>
        <v/>
      </c>
    </row>
    <row r="63">
      <c r="A63">
        <f>IF(weight_stages!A6="","",weight_stages!A6)</f>
        <v/>
      </c>
      <c r="B63">
        <f>IF(weight_stages!B6="","",weight_stages!B6)</f>
        <v/>
      </c>
      <c r="C63" s="7">
        <f>IF(weight_stages!C6="","",weight_stages!C6)</f>
        <v/>
      </c>
      <c r="D63" s="8">
        <f>IF(weight_stages!D6="","",weight_stages!D6)</f>
        <v/>
      </c>
      <c r="E63" s="8">
        <f>IF(weight_stages!E6="","",weight_stages!E6)</f>
        <v/>
      </c>
      <c r="F63" s="8">
        <f>IF(weight_stages!F6="","",weight_stages!F6)</f>
        <v/>
      </c>
      <c r="G63" s="8">
        <f>IF(weight_stages!G6="","",weight_stages!G6)</f>
        <v/>
      </c>
      <c r="H63" s="8">
        <f>IF(weight_stages!H6="","",weight_stages!H6)</f>
        <v/>
      </c>
      <c r="I63" s="8">
        <f>IF(weight_stages!I6="","",weight_stages!I6)</f>
        <v/>
      </c>
      <c r="J63" s="8">
        <f>IF(weight_stages!J6="","",weight_stages!J6)</f>
        <v/>
      </c>
      <c r="K63" s="8">
        <f>IF(weight_stages!K6="","",weight_stages!K6)</f>
        <v/>
      </c>
      <c r="L63" s="8">
        <f>IF(weight_stages!L6="","",weight_stages!L6)</f>
        <v/>
      </c>
      <c r="M63" s="8">
        <f>IF(weight_stages!M6="","",weight_stages!M6)</f>
        <v/>
      </c>
      <c r="N63" s="8">
        <f>IF(weight_stages!N6="","",weight_stages!N6)</f>
        <v/>
      </c>
      <c r="O63" s="8">
        <f>IF(weight_stages!O6="","",weight_stages!O6)</f>
        <v/>
      </c>
      <c r="P63" s="8">
        <f>IF(weight_stages!P6="","",weight_stages!P6)</f>
        <v/>
      </c>
      <c r="Q63" s="7">
        <f>IF(weight_stages!Q6="","",weight_stages!Q6)</f>
        <v/>
      </c>
      <c r="R63" s="7">
        <f>IF(weight_stages!R6="","",weight_stages!R6)</f>
        <v/>
      </c>
    </row>
    <row r="64">
      <c r="A64">
        <f>IF(weight_stages!A7="","",weight_stages!A7)</f>
        <v/>
      </c>
      <c r="B64">
        <f>IF(weight_stages!B7="","",weight_stages!B7)</f>
        <v/>
      </c>
      <c r="C64" s="7">
        <f>IF(weight_stages!C7="","",weight_stages!C7)</f>
        <v/>
      </c>
      <c r="D64" s="8">
        <f>IF(weight_stages!D7="","",weight_stages!D7)</f>
        <v/>
      </c>
      <c r="E64" s="8">
        <f>IF(weight_stages!E7="","",weight_stages!E7)</f>
        <v/>
      </c>
      <c r="F64" s="8">
        <f>IF(weight_stages!F7="","",weight_stages!F7)</f>
        <v/>
      </c>
      <c r="G64" s="8">
        <f>IF(weight_stages!G7="","",weight_stages!G7)</f>
        <v/>
      </c>
      <c r="H64" s="8">
        <f>IF(weight_stages!H7="","",weight_stages!H7)</f>
        <v/>
      </c>
      <c r="I64" s="8">
        <f>IF(weight_stages!I7="","",weight_stages!I7)</f>
        <v/>
      </c>
      <c r="J64" s="8">
        <f>IF(weight_stages!J7="","",weight_stages!J7)</f>
        <v/>
      </c>
      <c r="K64" s="8">
        <f>IF(weight_stages!K7="","",weight_stages!K7)</f>
        <v/>
      </c>
      <c r="L64" s="8">
        <f>IF(weight_stages!L7="","",weight_stages!L7)</f>
        <v/>
      </c>
      <c r="M64" s="8">
        <f>IF(weight_stages!M7="","",weight_stages!M7)</f>
        <v/>
      </c>
      <c r="N64" s="8">
        <f>IF(weight_stages!N7="","",weight_stages!N7)</f>
        <v/>
      </c>
      <c r="O64" s="8">
        <f>IF(weight_stages!O7="","",weight_stages!O7)</f>
        <v/>
      </c>
      <c r="P64" s="8">
        <f>IF(weight_stages!P7="","",weight_stages!P7)</f>
        <v/>
      </c>
      <c r="Q64" s="7">
        <f>IF(weight_stages!Q7="","",weight_stages!Q7)</f>
        <v/>
      </c>
      <c r="R64" s="7">
        <f>IF(weight_stages!R7="","",weight_stages!R7)</f>
        <v/>
      </c>
    </row>
    <row r="65">
      <c r="A65">
        <f>IF(weight_stages!A8="","",weight_stages!A8)</f>
        <v/>
      </c>
      <c r="B65">
        <f>IF(weight_stages!B8="","",weight_stages!B8)</f>
        <v/>
      </c>
      <c r="C65" s="7">
        <f>IF(weight_stages!C8="","",weight_stages!C8)</f>
        <v/>
      </c>
      <c r="D65" s="8">
        <f>IF(weight_stages!D8="","",weight_stages!D8)</f>
        <v/>
      </c>
      <c r="E65" s="8">
        <f>IF(weight_stages!E8="","",weight_stages!E8)</f>
        <v/>
      </c>
      <c r="F65" s="8">
        <f>IF(weight_stages!F8="","",weight_stages!F8)</f>
        <v/>
      </c>
      <c r="G65" s="8">
        <f>IF(weight_stages!G8="","",weight_stages!G8)</f>
        <v/>
      </c>
      <c r="H65" s="8">
        <f>IF(weight_stages!H8="","",weight_stages!H8)</f>
        <v/>
      </c>
      <c r="I65" s="8">
        <f>IF(weight_stages!I8="","",weight_stages!I8)</f>
        <v/>
      </c>
      <c r="J65" s="8">
        <f>IF(weight_stages!J8="","",weight_stages!J8)</f>
        <v/>
      </c>
      <c r="K65" s="8">
        <f>IF(weight_stages!K8="","",weight_stages!K8)</f>
        <v/>
      </c>
      <c r="L65" s="8">
        <f>IF(weight_stages!L8="","",weight_stages!L8)</f>
        <v/>
      </c>
      <c r="M65" s="8">
        <f>IF(weight_stages!M8="","",weight_stages!M8)</f>
        <v/>
      </c>
      <c r="N65" s="8">
        <f>IF(weight_stages!N8="","",weight_stages!N8)</f>
        <v/>
      </c>
      <c r="O65" s="8">
        <f>IF(weight_stages!O8="","",weight_stages!O8)</f>
        <v/>
      </c>
      <c r="P65" s="8">
        <f>IF(weight_stages!P8="","",weight_stages!P8)</f>
        <v/>
      </c>
      <c r="Q65" s="7">
        <f>IF(weight_stages!Q8="","",weight_stages!Q8)</f>
        <v/>
      </c>
      <c r="R65" s="7">
        <f>IF(weight_stages!R8="","",weight_stages!R8)</f>
        <v/>
      </c>
    </row>
    <row r="66">
      <c r="A66">
        <f>IF(weight_stages!A9="","",weight_stages!A9)</f>
        <v/>
      </c>
      <c r="B66">
        <f>IF(weight_stages!B9="","",weight_stages!B9)</f>
        <v/>
      </c>
      <c r="C66" s="7">
        <f>IF(weight_stages!C9="","",weight_stages!C9)</f>
        <v/>
      </c>
      <c r="D66" s="8">
        <f>IF(weight_stages!D9="","",weight_stages!D9)</f>
        <v/>
      </c>
      <c r="E66" s="8">
        <f>IF(weight_stages!E9="","",weight_stages!E9)</f>
        <v/>
      </c>
      <c r="F66" s="8">
        <f>IF(weight_stages!F9="","",weight_stages!F9)</f>
        <v/>
      </c>
      <c r="G66" s="8">
        <f>IF(weight_stages!G9="","",weight_stages!G9)</f>
        <v/>
      </c>
      <c r="H66" s="8">
        <f>IF(weight_stages!H9="","",weight_stages!H9)</f>
        <v/>
      </c>
      <c r="I66" s="8">
        <f>IF(weight_stages!I9="","",weight_stages!I9)</f>
        <v/>
      </c>
      <c r="J66" s="8">
        <f>IF(weight_stages!J9="","",weight_stages!J9)</f>
        <v/>
      </c>
      <c r="K66" s="8">
        <f>IF(weight_stages!K9="","",weight_stages!K9)</f>
        <v/>
      </c>
      <c r="L66" s="8">
        <f>IF(weight_stages!L9="","",weight_stages!L9)</f>
        <v/>
      </c>
      <c r="M66" s="8">
        <f>IF(weight_stages!M9="","",weight_stages!M9)</f>
        <v/>
      </c>
      <c r="N66" s="8">
        <f>IF(weight_stages!N9="","",weight_stages!N9)</f>
        <v/>
      </c>
      <c r="O66" s="8">
        <f>IF(weight_stages!O9="","",weight_stages!O9)</f>
        <v/>
      </c>
      <c r="P66" s="8">
        <f>IF(weight_stages!P9="","",weight_stages!P9)</f>
        <v/>
      </c>
      <c r="Q66" s="7">
        <f>IF(weight_stages!Q9="","",weight_stages!Q9)</f>
        <v/>
      </c>
      <c r="R66" s="7">
        <f>IF(weight_stages!R9="","",weight_stages!R9)</f>
        <v/>
      </c>
    </row>
    <row r="67">
      <c r="A67">
        <f>IF(weight_stages!A10="","",weight_stages!A10)</f>
        <v/>
      </c>
      <c r="B67">
        <f>IF(weight_stages!B10="","",weight_stages!B10)</f>
        <v/>
      </c>
      <c r="C67" s="7">
        <f>IF(weight_stages!C10="","",weight_stages!C10)</f>
        <v/>
      </c>
      <c r="D67" s="8">
        <f>IF(weight_stages!D10="","",weight_stages!D10)</f>
        <v/>
      </c>
      <c r="E67" s="8">
        <f>IF(weight_stages!E10="","",weight_stages!E10)</f>
        <v/>
      </c>
      <c r="F67" s="8">
        <f>IF(weight_stages!F10="","",weight_stages!F10)</f>
        <v/>
      </c>
      <c r="G67" s="8">
        <f>IF(weight_stages!G10="","",weight_stages!G10)</f>
        <v/>
      </c>
      <c r="H67" s="8">
        <f>IF(weight_stages!H10="","",weight_stages!H10)</f>
        <v/>
      </c>
      <c r="I67" s="8">
        <f>IF(weight_stages!I10="","",weight_stages!I10)</f>
        <v/>
      </c>
      <c r="J67" s="8">
        <f>IF(weight_stages!J10="","",weight_stages!J10)</f>
        <v/>
      </c>
      <c r="K67" s="8">
        <f>IF(weight_stages!K10="","",weight_stages!K10)</f>
        <v/>
      </c>
      <c r="L67" s="8">
        <f>IF(weight_stages!L10="","",weight_stages!L10)</f>
        <v/>
      </c>
      <c r="M67" s="8">
        <f>IF(weight_stages!M10="","",weight_stages!M10)</f>
        <v/>
      </c>
      <c r="N67" s="8">
        <f>IF(weight_stages!N10="","",weight_stages!N10)</f>
        <v/>
      </c>
      <c r="O67" s="8">
        <f>IF(weight_stages!O10="","",weight_stages!O10)</f>
        <v/>
      </c>
      <c r="P67" s="8">
        <f>IF(weight_stages!P10="","",weight_stages!P10)</f>
        <v/>
      </c>
      <c r="Q67" s="7">
        <f>IF(weight_stages!Q10="","",weight_stages!Q10)</f>
        <v/>
      </c>
      <c r="R67" s="7">
        <f>IF(weight_stages!R10="","",weight_stages!R10)</f>
        <v/>
      </c>
    </row>
    <row r="68">
      <c r="A68">
        <f>IF(weight_stages!A11="","",weight_stages!A11)</f>
        <v/>
      </c>
      <c r="B68">
        <f>IF(weight_stages!B11="","",weight_stages!B11)</f>
        <v/>
      </c>
      <c r="C68" s="7">
        <f>IF(weight_stages!C11="","",weight_stages!C11)</f>
        <v/>
      </c>
      <c r="D68" s="8">
        <f>IF(weight_stages!D11="","",weight_stages!D11)</f>
        <v/>
      </c>
      <c r="E68" s="8">
        <f>IF(weight_stages!E11="","",weight_stages!E11)</f>
        <v/>
      </c>
      <c r="F68" s="8">
        <f>IF(weight_stages!F11="","",weight_stages!F11)</f>
        <v/>
      </c>
      <c r="G68" s="8">
        <f>IF(weight_stages!G11="","",weight_stages!G11)</f>
        <v/>
      </c>
      <c r="H68" s="8">
        <f>IF(weight_stages!H11="","",weight_stages!H11)</f>
        <v/>
      </c>
      <c r="I68" s="8">
        <f>IF(weight_stages!I11="","",weight_stages!I11)</f>
        <v/>
      </c>
      <c r="J68" s="8">
        <f>IF(weight_stages!J11="","",weight_stages!J11)</f>
        <v/>
      </c>
      <c r="K68" s="8">
        <f>IF(weight_stages!K11="","",weight_stages!K11)</f>
        <v/>
      </c>
      <c r="L68" s="8">
        <f>IF(weight_stages!L11="","",weight_stages!L11)</f>
        <v/>
      </c>
      <c r="M68" s="8">
        <f>IF(weight_stages!M11="","",weight_stages!M11)</f>
        <v/>
      </c>
      <c r="N68" s="8">
        <f>IF(weight_stages!N11="","",weight_stages!N11)</f>
        <v/>
      </c>
      <c r="O68" s="8">
        <f>IF(weight_stages!O11="","",weight_stages!O11)</f>
        <v/>
      </c>
      <c r="P68" s="8">
        <f>IF(weight_stages!P11="","",weight_stages!P11)</f>
        <v/>
      </c>
      <c r="Q68" s="7">
        <f>IF(weight_stages!Q11="","",weight_stages!Q11)</f>
        <v/>
      </c>
      <c r="R68" s="7">
        <f>IF(weight_stages!R11="","",weight_stages!R11)</f>
        <v/>
      </c>
    </row>
    <row r="69">
      <c r="A69">
        <f>IF(weight_stages!A12="","",weight_stages!A12)</f>
        <v/>
      </c>
      <c r="B69">
        <f>IF(weight_stages!B12="","",weight_stages!B12)</f>
        <v/>
      </c>
      <c r="C69" s="7">
        <f>IF(weight_stages!C12="","",weight_stages!C12)</f>
        <v/>
      </c>
      <c r="D69" s="8">
        <f>IF(weight_stages!D12="","",weight_stages!D12)</f>
        <v/>
      </c>
      <c r="E69" s="8">
        <f>IF(weight_stages!E12="","",weight_stages!E12)</f>
        <v/>
      </c>
      <c r="F69" s="8">
        <f>IF(weight_stages!F12="","",weight_stages!F12)</f>
        <v/>
      </c>
      <c r="G69" s="8">
        <f>IF(weight_stages!G12="","",weight_stages!G12)</f>
        <v/>
      </c>
      <c r="H69" s="8">
        <f>IF(weight_stages!H12="","",weight_stages!H12)</f>
        <v/>
      </c>
      <c r="I69" s="8">
        <f>IF(weight_stages!I12="","",weight_stages!I12)</f>
        <v/>
      </c>
      <c r="J69" s="8">
        <f>IF(weight_stages!J12="","",weight_stages!J12)</f>
        <v/>
      </c>
      <c r="K69" s="8">
        <f>IF(weight_stages!K12="","",weight_stages!K12)</f>
        <v/>
      </c>
      <c r="L69" s="8">
        <f>IF(weight_stages!L12="","",weight_stages!L12)</f>
        <v/>
      </c>
      <c r="M69" s="8">
        <f>IF(weight_stages!M12="","",weight_stages!M12)</f>
        <v/>
      </c>
      <c r="N69" s="8">
        <f>IF(weight_stages!N12="","",weight_stages!N12)</f>
        <v/>
      </c>
      <c r="O69" s="8">
        <f>IF(weight_stages!O12="","",weight_stages!O12)</f>
        <v/>
      </c>
      <c r="P69" s="8">
        <f>IF(weight_stages!P12="","",weight_stages!P12)</f>
        <v/>
      </c>
      <c r="Q69" s="7">
        <f>IF(weight_stages!Q12="","",weight_stages!Q12)</f>
        <v/>
      </c>
      <c r="R69" s="7">
        <f>IF(weight_stages!R12="","",weight_stages!R12)</f>
        <v/>
      </c>
    </row>
    <row r="70">
      <c r="A70">
        <f>IF(weight_stages!A13="","",weight_stages!A13)</f>
        <v/>
      </c>
      <c r="B70">
        <f>IF(weight_stages!B13="","",weight_stages!B13)</f>
        <v/>
      </c>
      <c r="C70" s="7">
        <f>IF(weight_stages!C13="","",weight_stages!C13)</f>
        <v/>
      </c>
      <c r="D70" s="8">
        <f>IF(weight_stages!D13="","",weight_stages!D13)</f>
        <v/>
      </c>
      <c r="E70" s="8">
        <f>IF(weight_stages!E13="","",weight_stages!E13)</f>
        <v/>
      </c>
      <c r="F70" s="8">
        <f>IF(weight_stages!F13="","",weight_stages!F13)</f>
        <v/>
      </c>
      <c r="G70" s="8">
        <f>IF(weight_stages!G13="","",weight_stages!G13)</f>
        <v/>
      </c>
      <c r="H70" s="8">
        <f>IF(weight_stages!H13="","",weight_stages!H13)</f>
        <v/>
      </c>
      <c r="I70" s="8">
        <f>IF(weight_stages!I13="","",weight_stages!I13)</f>
        <v/>
      </c>
      <c r="J70" s="8">
        <f>IF(weight_stages!J13="","",weight_stages!J13)</f>
        <v/>
      </c>
      <c r="K70" s="8">
        <f>IF(weight_stages!K13="","",weight_stages!K13)</f>
        <v/>
      </c>
      <c r="L70" s="8">
        <f>IF(weight_stages!L13="","",weight_stages!L13)</f>
        <v/>
      </c>
      <c r="M70" s="8">
        <f>IF(weight_stages!M13="","",weight_stages!M13)</f>
        <v/>
      </c>
      <c r="N70" s="8">
        <f>IF(weight_stages!N13="","",weight_stages!N13)</f>
        <v/>
      </c>
      <c r="O70" s="8">
        <f>IF(weight_stages!O13="","",weight_stages!O13)</f>
        <v/>
      </c>
      <c r="P70" s="8">
        <f>IF(weight_stages!P13="","",weight_stages!P13)</f>
        <v/>
      </c>
      <c r="Q70" s="7">
        <f>IF(weight_stages!Q13="","",weight_stages!Q13)</f>
        <v/>
      </c>
      <c r="R70" s="7">
        <f>IF(weight_stages!R13="","",weight_stages!R13)</f>
        <v/>
      </c>
    </row>
    <row r="87">
      <c r="A87" s="3" t="inlineStr">
        <is>
          <t>Response by class or group (response_classes.csv)</t>
        </is>
      </c>
    </row>
    <row r="88">
      <c r="A88" s="6" t="inlineStr">
        <is>
          <t>class_var</t>
        </is>
      </c>
      <c r="B88" s="6" t="inlineStr">
        <is>
          <t>class</t>
        </is>
      </c>
      <c r="C88" s="6" t="inlineStr">
        <is>
          <t>n_sample</t>
        </is>
      </c>
      <c r="D88" s="6" t="inlineStr">
        <is>
          <t>n_respondents</t>
        </is>
      </c>
      <c r="E88" s="6" t="inlineStr">
        <is>
          <t>response_rate</t>
        </is>
      </c>
      <c r="F88" s="6" t="inlineStr">
        <is>
          <t>factor</t>
        </is>
      </c>
    </row>
    <row r="89">
      <c r="A89">
        <f>IF(response_classes!A2="","",response_classes!A2)</f>
        <v/>
      </c>
      <c r="B89">
        <f>IF(response_classes!B2="","",response_classes!B2)</f>
        <v/>
      </c>
      <c r="C89" s="7">
        <f>IF(response_classes!C2="","",response_classes!C2)</f>
        <v/>
      </c>
      <c r="D89" s="7">
        <f>IF(response_classes!D2="","",response_classes!D2)</f>
        <v/>
      </c>
      <c r="E89" s="9">
        <f>IF(response_classes!E2="","",response_classes!E2)</f>
        <v/>
      </c>
      <c r="F89" s="9">
        <f>IF(response_classes!F2="","",response_classes!F2)</f>
        <v/>
      </c>
    </row>
    <row r="90">
      <c r="A90">
        <f>IF(response_classes!A3="","",response_classes!A3)</f>
        <v/>
      </c>
      <c r="B90">
        <f>IF(response_classes!B3="","",response_classes!B3)</f>
        <v/>
      </c>
      <c r="C90" s="7">
        <f>IF(response_classes!C3="","",response_classes!C3)</f>
        <v/>
      </c>
      <c r="D90" s="7">
        <f>IF(response_classes!D3="","",response_classes!D3)</f>
        <v/>
      </c>
      <c r="E90" s="9">
        <f>IF(response_classes!E3="","",response_classes!E3)</f>
        <v/>
      </c>
      <c r="F90" s="9">
        <f>IF(response_classes!F3="","",response_classes!F3)</f>
        <v/>
      </c>
    </row>
    <row r="91">
      <c r="A91">
        <f>IF(response_classes!A4="","",response_classes!A4)</f>
        <v/>
      </c>
      <c r="B91">
        <f>IF(response_classes!B4="","",response_classes!B4)</f>
        <v/>
      </c>
      <c r="C91" s="7">
        <f>IF(response_classes!C4="","",response_classes!C4)</f>
        <v/>
      </c>
      <c r="D91" s="7">
        <f>IF(response_classes!D4="","",response_classes!D4)</f>
        <v/>
      </c>
      <c r="E91" s="9">
        <f>IF(response_classes!E4="","",response_classes!E4)</f>
        <v/>
      </c>
      <c r="F91" s="9">
        <f>IF(response_classes!F4="","",response_classes!F4)</f>
        <v/>
      </c>
    </row>
    <row r="92">
      <c r="A92">
        <f>IF(response_classes!A5="","",response_classes!A5)</f>
        <v/>
      </c>
      <c r="B92">
        <f>IF(response_classes!B5="","",response_classes!B5)</f>
        <v/>
      </c>
      <c r="C92" s="7">
        <f>IF(response_classes!C5="","",response_classes!C5)</f>
        <v/>
      </c>
      <c r="D92" s="7">
        <f>IF(response_classes!D5="","",response_classes!D5)</f>
        <v/>
      </c>
      <c r="E92" s="9">
        <f>IF(response_classes!E5="","",response_classes!E5)</f>
        <v/>
      </c>
      <c r="F92" s="9">
        <f>IF(response_classes!F5="","",response_classes!F5)</f>
        <v/>
      </c>
    </row>
    <row r="93">
      <c r="A93">
        <f>IF(response_classes!A6="","",response_classes!A6)</f>
        <v/>
      </c>
      <c r="B93">
        <f>IF(response_classes!B6="","",response_classes!B6)</f>
        <v/>
      </c>
      <c r="C93" s="7">
        <f>IF(response_classes!C6="","",response_classes!C6)</f>
        <v/>
      </c>
      <c r="D93" s="7">
        <f>IF(response_classes!D6="","",response_classes!D6)</f>
        <v/>
      </c>
      <c r="E93" s="9">
        <f>IF(response_classes!E6="","",response_classes!E6)</f>
        <v/>
      </c>
      <c r="F93" s="9">
        <f>IF(response_classes!F6="","",response_classes!F6)</f>
        <v/>
      </c>
    </row>
    <row r="94">
      <c r="A94">
        <f>IF(response_classes!A7="","",response_classes!A7)</f>
        <v/>
      </c>
      <c r="B94">
        <f>IF(response_classes!B7="","",response_classes!B7)</f>
        <v/>
      </c>
      <c r="C94" s="7">
        <f>IF(response_classes!C7="","",response_classes!C7)</f>
        <v/>
      </c>
      <c r="D94" s="7">
        <f>IF(response_classes!D7="","",response_classes!D7)</f>
        <v/>
      </c>
      <c r="E94" s="9">
        <f>IF(response_classes!E7="","",response_classes!E7)</f>
        <v/>
      </c>
      <c r="F94" s="9">
        <f>IF(response_classes!F7="","",response_classes!F7)</f>
        <v/>
      </c>
    </row>
    <row r="95">
      <c r="A95">
        <f>IF(response_classes!A8="","",response_classes!A8)</f>
        <v/>
      </c>
      <c r="B95">
        <f>IF(response_classes!B8="","",response_classes!B8)</f>
        <v/>
      </c>
      <c r="C95" s="7">
        <f>IF(response_classes!C8="","",response_classes!C8)</f>
        <v/>
      </c>
      <c r="D95" s="7">
        <f>IF(response_classes!D8="","",response_classes!D8)</f>
        <v/>
      </c>
      <c r="E95" s="9">
        <f>IF(response_classes!E8="","",response_classes!E8)</f>
        <v/>
      </c>
      <c r="F95" s="9">
        <f>IF(response_classes!F8="","",response_classes!F8)</f>
        <v/>
      </c>
    </row>
    <row r="96">
      <c r="A96">
        <f>IF(response_classes!A9="","",response_classes!A9)</f>
        <v/>
      </c>
      <c r="B96">
        <f>IF(response_classes!B9="","",response_classes!B9)</f>
        <v/>
      </c>
      <c r="C96" s="7">
        <f>IF(response_classes!C9="","",response_classes!C9)</f>
        <v/>
      </c>
      <c r="D96" s="7">
        <f>IF(response_classes!D9="","",response_classes!D9)</f>
        <v/>
      </c>
      <c r="E96" s="9">
        <f>IF(response_classes!E9="","",response_classes!E9)</f>
        <v/>
      </c>
      <c r="F96" s="9">
        <f>IF(response_classes!F9="","",response_classes!F9)</f>
        <v/>
      </c>
    </row>
    <row r="97">
      <c r="A97">
        <f>IF(response_classes!A10="","",response_classes!A10)</f>
        <v/>
      </c>
      <c r="B97">
        <f>IF(response_classes!B10="","",response_classes!B10)</f>
        <v/>
      </c>
      <c r="C97" s="7">
        <f>IF(response_classes!C10="","",response_classes!C10)</f>
        <v/>
      </c>
      <c r="D97" s="7">
        <f>IF(response_classes!D10="","",response_classes!D10)</f>
        <v/>
      </c>
      <c r="E97" s="9">
        <f>IF(response_classes!E10="","",response_classes!E10)</f>
        <v/>
      </c>
      <c r="F97" s="9">
        <f>IF(response_classes!F10="","",response_classes!F10)</f>
        <v/>
      </c>
    </row>
    <row r="98">
      <c r="A98">
        <f>IF(response_classes!A11="","",response_classes!A11)</f>
        <v/>
      </c>
      <c r="B98">
        <f>IF(response_classes!B11="","",response_classes!B11)</f>
        <v/>
      </c>
      <c r="C98" s="7">
        <f>IF(response_classes!C11="","",response_classes!C11)</f>
        <v/>
      </c>
      <c r="D98" s="7">
        <f>IF(response_classes!D11="","",response_classes!D11)</f>
        <v/>
      </c>
      <c r="E98" s="9">
        <f>IF(response_classes!E11="","",response_classes!E11)</f>
        <v/>
      </c>
      <c r="F98" s="9">
        <f>IF(response_classes!F11="","",response_classes!F11)</f>
        <v/>
      </c>
    </row>
    <row r="99">
      <c r="A99">
        <f>IF(response_classes!A12="","",response_classes!A12)</f>
        <v/>
      </c>
      <c r="B99">
        <f>IF(response_classes!B12="","",response_classes!B12)</f>
        <v/>
      </c>
      <c r="C99" s="7">
        <f>IF(response_classes!C12="","",response_classes!C12)</f>
        <v/>
      </c>
      <c r="D99" s="7">
        <f>IF(response_classes!D12="","",response_classes!D12)</f>
        <v/>
      </c>
      <c r="E99" s="9">
        <f>IF(response_classes!E12="","",response_classes!E12)</f>
        <v/>
      </c>
      <c r="F99" s="9">
        <f>IF(response_classes!F12="","",response_classes!F12)</f>
        <v/>
      </c>
    </row>
    <row r="100">
      <c r="A100">
        <f>IF(response_classes!A13="","",response_classes!A13)</f>
        <v/>
      </c>
      <c r="B100">
        <f>IF(response_classes!B13="","",response_classes!B13)</f>
        <v/>
      </c>
      <c r="C100" s="7">
        <f>IF(response_classes!C13="","",response_classes!C13)</f>
        <v/>
      </c>
      <c r="D100" s="7">
        <f>IF(response_classes!D13="","",response_classes!D13)</f>
        <v/>
      </c>
      <c r="E100" s="9">
        <f>IF(response_classes!E13="","",response_classes!E13)</f>
        <v/>
      </c>
      <c r="F100" s="9">
        <f>IF(response_classes!F13="","",response_classes!F13)</f>
        <v/>
      </c>
    </row>
    <row r="101">
      <c r="A101">
        <f>IF(response_classes!A14="","",response_classes!A14)</f>
        <v/>
      </c>
      <c r="B101">
        <f>IF(response_classes!B14="","",response_classes!B14)</f>
        <v/>
      </c>
      <c r="C101" s="7">
        <f>IF(response_classes!C14="","",response_classes!C14)</f>
        <v/>
      </c>
      <c r="D101" s="7">
        <f>IF(response_classes!D14="","",response_classes!D14)</f>
        <v/>
      </c>
      <c r="E101" s="9">
        <f>IF(response_classes!E14="","",response_classes!E14)</f>
        <v/>
      </c>
      <c r="F101" s="9">
        <f>IF(response_classes!F14="","",response_classes!F14)</f>
        <v/>
      </c>
    </row>
    <row r="102">
      <c r="A102">
        <f>IF(response_classes!A15="","",response_classes!A15)</f>
        <v/>
      </c>
      <c r="B102">
        <f>IF(response_classes!B15="","",response_classes!B15)</f>
        <v/>
      </c>
      <c r="C102" s="7">
        <f>IF(response_classes!C15="","",response_classes!C15)</f>
        <v/>
      </c>
      <c r="D102" s="7">
        <f>IF(response_classes!D15="","",response_classes!D15)</f>
        <v/>
      </c>
      <c r="E102" s="9">
        <f>IF(response_classes!E15="","",response_classes!E15)</f>
        <v/>
      </c>
      <c r="F102" s="9">
        <f>IF(response_classes!F15="","",response_classes!F15)</f>
        <v/>
      </c>
    </row>
    <row r="103">
      <c r="A103">
        <f>IF(response_classes!A16="","",response_classes!A16)</f>
        <v/>
      </c>
      <c r="B103">
        <f>IF(response_classes!B16="","",response_classes!B16)</f>
        <v/>
      </c>
      <c r="C103" s="7">
        <f>IF(response_classes!C16="","",response_classes!C16)</f>
        <v/>
      </c>
      <c r="D103" s="7">
        <f>IF(response_classes!D16="","",response_classes!D16)</f>
        <v/>
      </c>
      <c r="E103" s="9">
        <f>IF(response_classes!E16="","",response_classes!E16)</f>
        <v/>
      </c>
      <c r="F103" s="9">
        <f>IF(response_classes!F16="","",response_classes!F16)</f>
        <v/>
      </c>
    </row>
    <row r="104">
      <c r="A104">
        <f>IF(response_classes!A17="","",response_classes!A17)</f>
        <v/>
      </c>
      <c r="B104">
        <f>IF(response_classes!B17="","",response_classes!B17)</f>
        <v/>
      </c>
      <c r="C104" s="7">
        <f>IF(response_classes!C17="","",response_classes!C17)</f>
        <v/>
      </c>
      <c r="D104" s="7">
        <f>IF(response_classes!D17="","",response_classes!D17)</f>
        <v/>
      </c>
      <c r="E104" s="9">
        <f>IF(response_classes!E17="","",response_classes!E17)</f>
        <v/>
      </c>
      <c r="F104" s="9">
        <f>IF(response_classes!F17="","",response_classes!F17)</f>
        <v/>
      </c>
    </row>
    <row r="105">
      <c r="A105">
        <f>IF(response_classes!A18="","",response_classes!A18)</f>
        <v/>
      </c>
      <c r="B105">
        <f>IF(response_classes!B18="","",response_classes!B18)</f>
        <v/>
      </c>
      <c r="C105" s="7">
        <f>IF(response_classes!C18="","",response_classes!C18)</f>
        <v/>
      </c>
      <c r="D105" s="7">
        <f>IF(response_classes!D18="","",response_classes!D18)</f>
        <v/>
      </c>
      <c r="E105" s="9">
        <f>IF(response_classes!E18="","",response_classes!E18)</f>
        <v/>
      </c>
      <c r="F105" s="9">
        <f>IF(response_classes!F18="","",response_classes!F18)</f>
        <v/>
      </c>
    </row>
    <row r="106">
      <c r="A106">
        <f>IF(response_classes!A19="","",response_classes!A19)</f>
        <v/>
      </c>
      <c r="B106">
        <f>IF(response_classes!B19="","",response_classes!B19)</f>
        <v/>
      </c>
      <c r="C106" s="7">
        <f>IF(response_classes!C19="","",response_classes!C19)</f>
        <v/>
      </c>
      <c r="D106" s="7">
        <f>IF(response_classes!D19="","",response_classes!D19)</f>
        <v/>
      </c>
      <c r="E106" s="9">
        <f>IF(response_classes!E19="","",response_classes!E19)</f>
        <v/>
      </c>
      <c r="F106" s="9">
        <f>IF(response_classes!F19="","",response_classes!F19)</f>
        <v/>
      </c>
    </row>
    <row r="107">
      <c r="A107">
        <f>IF(response_classes!A20="","",response_classes!A20)</f>
        <v/>
      </c>
      <c r="B107">
        <f>IF(response_classes!B20="","",response_classes!B20)</f>
        <v/>
      </c>
      <c r="C107" s="7">
        <f>IF(response_classes!C20="","",response_classes!C20)</f>
        <v/>
      </c>
      <c r="D107" s="7">
        <f>IF(response_classes!D20="","",response_classes!D20)</f>
        <v/>
      </c>
      <c r="E107" s="9">
        <f>IF(response_classes!E20="","",response_classes!E20)</f>
        <v/>
      </c>
      <c r="F107" s="9">
        <f>IF(response_classes!F20="","",response_classes!F20)</f>
        <v/>
      </c>
    </row>
    <row r="108">
      <c r="A108">
        <f>IF(response_classes!A21="","",response_classes!A21)</f>
        <v/>
      </c>
      <c r="B108">
        <f>IF(response_classes!B21="","",response_classes!B21)</f>
        <v/>
      </c>
      <c r="C108" s="7">
        <f>IF(response_classes!C21="","",response_classes!C21)</f>
        <v/>
      </c>
      <c r="D108" s="7">
        <f>IF(response_classes!D21="","",response_classes!D21)</f>
        <v/>
      </c>
      <c r="E108" s="9">
        <f>IF(response_classes!E21="","",response_classes!E21)</f>
        <v/>
      </c>
      <c r="F108" s="9">
        <f>IF(response_classes!F21="","",response_classes!F21)</f>
        <v/>
      </c>
    </row>
    <row r="109">
      <c r="A109">
        <f>IF(response_classes!A22="","",response_classes!A22)</f>
        <v/>
      </c>
      <c r="B109">
        <f>IF(response_classes!B22="","",response_classes!B22)</f>
        <v/>
      </c>
      <c r="C109" s="7">
        <f>IF(response_classes!C22="","",response_classes!C22)</f>
        <v/>
      </c>
      <c r="D109" s="7">
        <f>IF(response_classes!D22="","",response_classes!D22)</f>
        <v/>
      </c>
      <c r="E109" s="9">
        <f>IF(response_classes!E22="","",response_classes!E22)</f>
        <v/>
      </c>
      <c r="F109" s="9">
        <f>IF(response_classes!F22="","",response_classes!F22)</f>
        <v/>
      </c>
    </row>
    <row r="110">
      <c r="A110">
        <f>IF(response_classes!A23="","",response_classes!A23)</f>
        <v/>
      </c>
      <c r="B110">
        <f>IF(response_classes!B23="","",response_classes!B23)</f>
        <v/>
      </c>
      <c r="C110" s="7">
        <f>IF(response_classes!C23="","",response_classes!C23)</f>
        <v/>
      </c>
      <c r="D110" s="7">
        <f>IF(response_classes!D23="","",response_classes!D23)</f>
        <v/>
      </c>
      <c r="E110" s="9">
        <f>IF(response_classes!E23="","",response_classes!E23)</f>
        <v/>
      </c>
      <c r="F110" s="9">
        <f>IF(response_classes!F23="","",response_classes!F23)</f>
        <v/>
      </c>
    </row>
    <row r="111">
      <c r="A111">
        <f>IF(response_classes!A24="","",response_classes!A24)</f>
        <v/>
      </c>
      <c r="B111">
        <f>IF(response_classes!B24="","",response_classes!B24)</f>
        <v/>
      </c>
      <c r="C111" s="7">
        <f>IF(response_classes!C24="","",response_classes!C24)</f>
        <v/>
      </c>
      <c r="D111" s="7">
        <f>IF(response_classes!D24="","",response_classes!D24)</f>
        <v/>
      </c>
      <c r="E111" s="9">
        <f>IF(response_classes!E24="","",response_classes!E24)</f>
        <v/>
      </c>
      <c r="F111" s="9">
        <f>IF(response_classes!F24="","",response_classes!F24)</f>
        <v/>
      </c>
    </row>
    <row r="112">
      <c r="A112">
        <f>IF(response_classes!A25="","",response_classes!A25)</f>
        <v/>
      </c>
      <c r="B112">
        <f>IF(response_classes!B25="","",response_classes!B25)</f>
        <v/>
      </c>
      <c r="C112" s="7">
        <f>IF(response_classes!C25="","",response_classes!C25)</f>
        <v/>
      </c>
      <c r="D112" s="7">
        <f>IF(response_classes!D25="","",response_classes!D25)</f>
        <v/>
      </c>
      <c r="E112" s="9">
        <f>IF(response_classes!E25="","",response_classes!E25)</f>
        <v/>
      </c>
      <c r="F112" s="9">
        <f>IF(response_classes!F25="","",response_classes!F25)</f>
        <v/>
      </c>
    </row>
    <row r="113">
      <c r="A113">
        <f>IF(response_classes!A26="","",response_classes!A26)</f>
        <v/>
      </c>
      <c r="B113">
        <f>IF(response_classes!B26="","",response_classes!B26)</f>
        <v/>
      </c>
      <c r="C113" s="7">
        <f>IF(response_classes!C26="","",response_classes!C26)</f>
        <v/>
      </c>
      <c r="D113" s="7">
        <f>IF(response_classes!D26="","",response_classes!D26)</f>
        <v/>
      </c>
      <c r="E113" s="9">
        <f>IF(response_classes!E26="","",response_classes!E26)</f>
        <v/>
      </c>
      <c r="F113" s="9">
        <f>IF(response_classes!F26="","",response_classes!F26)</f>
        <v/>
      </c>
    </row>
    <row r="114">
      <c r="A114">
        <f>IF(response_classes!A27="","",response_classes!A27)</f>
        <v/>
      </c>
      <c r="B114">
        <f>IF(response_classes!B27="","",response_classes!B27)</f>
        <v/>
      </c>
      <c r="C114" s="7">
        <f>IF(response_classes!C27="","",response_classes!C27)</f>
        <v/>
      </c>
      <c r="D114" s="7">
        <f>IF(response_classes!D27="","",response_classes!D27)</f>
        <v/>
      </c>
      <c r="E114" s="9">
        <f>IF(response_classes!E27="","",response_classes!E27)</f>
        <v/>
      </c>
      <c r="F114" s="9">
        <f>IF(response_classes!F27="","",response_classes!F27)</f>
        <v/>
      </c>
    </row>
    <row r="115">
      <c r="A115">
        <f>IF(response_classes!A28="","",response_classes!A28)</f>
        <v/>
      </c>
      <c r="B115">
        <f>IF(response_classes!B28="","",response_classes!B28)</f>
        <v/>
      </c>
      <c r="C115" s="7">
        <f>IF(response_classes!C28="","",response_classes!C28)</f>
        <v/>
      </c>
      <c r="D115" s="7">
        <f>IF(response_classes!D28="","",response_classes!D28)</f>
        <v/>
      </c>
      <c r="E115" s="9">
        <f>IF(response_classes!E28="","",response_classes!E28)</f>
        <v/>
      </c>
      <c r="F115" s="9">
        <f>IF(response_classes!F28="","",response_classes!F28)</f>
        <v/>
      </c>
    </row>
    <row r="116">
      <c r="A116">
        <f>IF(response_classes!A29="","",response_classes!A29)</f>
        <v/>
      </c>
      <c r="B116">
        <f>IF(response_classes!B29="","",response_classes!B29)</f>
        <v/>
      </c>
      <c r="C116" s="7">
        <f>IF(response_classes!C29="","",response_classes!C29)</f>
        <v/>
      </c>
      <c r="D116" s="7">
        <f>IF(response_classes!D29="","",response_classes!D29)</f>
        <v/>
      </c>
      <c r="E116" s="9">
        <f>IF(response_classes!E29="","",response_classes!E29)</f>
        <v/>
      </c>
      <c r="F116" s="9">
        <f>IF(response_classes!F29="","",response_classes!F29)</f>
        <v/>
      </c>
    </row>
    <row r="117">
      <c r="A117">
        <f>IF(response_classes!A30="","",response_classes!A30)</f>
        <v/>
      </c>
      <c r="B117">
        <f>IF(response_classes!B30="","",response_classes!B30)</f>
        <v/>
      </c>
      <c r="C117" s="7">
        <f>IF(response_classes!C30="","",response_classes!C30)</f>
        <v/>
      </c>
      <c r="D117" s="7">
        <f>IF(response_classes!D30="","",response_classes!D30)</f>
        <v/>
      </c>
      <c r="E117" s="9">
        <f>IF(response_classes!E30="","",response_classes!E30)</f>
        <v/>
      </c>
      <c r="F117" s="9">
        <f>IF(response_classes!F30="","",response_classes!F30)</f>
        <v/>
      </c>
    </row>
    <row r="118">
      <c r="A118">
        <f>IF(response_classes!A31="","",response_classes!A31)</f>
        <v/>
      </c>
      <c r="B118">
        <f>IF(response_classes!B31="","",response_classes!B31)</f>
        <v/>
      </c>
      <c r="C118" s="7">
        <f>IF(response_classes!C31="","",response_classes!C31)</f>
        <v/>
      </c>
      <c r="D118" s="7">
        <f>IF(response_classes!D31="","",response_classes!D31)</f>
        <v/>
      </c>
      <c r="E118" s="9">
        <f>IF(response_classes!E31="","",response_classes!E31)</f>
        <v/>
      </c>
      <c r="F118" s="9">
        <f>IF(response_classes!F31="","",response_classes!F31)</f>
        <v/>
      </c>
    </row>
    <row r="120">
      <c r="A120" s="3" t="inlineStr">
        <is>
          <t>Calibration or balancing fit (calibration_fit.csv)</t>
        </is>
      </c>
    </row>
    <row r="121">
      <c r="A121" s="6" t="inlineStr">
        <is>
          <t>constraint</t>
        </is>
      </c>
      <c r="B121" s="6" t="inlineStr">
        <is>
          <t>target</t>
        </is>
      </c>
      <c r="C121" s="6" t="inlineStr">
        <is>
          <t>before</t>
        </is>
      </c>
      <c r="D121" s="6" t="inlineStr">
        <is>
          <t>after</t>
        </is>
      </c>
      <c r="E121" s="6" t="inlineStr">
        <is>
          <t>diff</t>
        </is>
      </c>
      <c r="F121" s="6" t="inlineStr">
        <is>
          <t>rel_diff</t>
        </is>
      </c>
      <c r="G121" s="6" t="inlineStr">
        <is>
          <t>converged</t>
        </is>
      </c>
      <c r="H121" s="6" t="inlineStr">
        <is>
          <t>iterations</t>
        </is>
      </c>
    </row>
    <row r="122">
      <c r="A122">
        <f>IF(calibration_fit!A2="","",calibration_fit!A2)</f>
        <v/>
      </c>
      <c r="B122" s="8">
        <f>IF(calibration_fit!B2="","",calibration_fit!B2)</f>
        <v/>
      </c>
      <c r="C122" s="8">
        <f>IF(calibration_fit!C2="","",calibration_fit!C2)</f>
        <v/>
      </c>
      <c r="D122" s="8">
        <f>IF(calibration_fit!D2="","",calibration_fit!D2)</f>
        <v/>
      </c>
      <c r="E122" s="8">
        <f>IF(calibration_fit!E2="","",calibration_fit!E2)</f>
        <v/>
      </c>
      <c r="F122" s="10">
        <f>IF(calibration_fit!F2="","",calibration_fit!F2)</f>
        <v/>
      </c>
      <c r="G122">
        <f>IF(calibration_fit!G2="","",calibration_fit!G2)</f>
        <v/>
      </c>
      <c r="H122">
        <f>IF(calibration_fit!H2="","",calibration_fit!H2)</f>
        <v/>
      </c>
    </row>
    <row r="123">
      <c r="A123">
        <f>IF(calibration_fit!A3="","",calibration_fit!A3)</f>
        <v/>
      </c>
      <c r="B123" s="8">
        <f>IF(calibration_fit!B3="","",calibration_fit!B3)</f>
        <v/>
      </c>
      <c r="C123" s="8">
        <f>IF(calibration_fit!C3="","",calibration_fit!C3)</f>
        <v/>
      </c>
      <c r="D123" s="8">
        <f>IF(calibration_fit!D3="","",calibration_fit!D3)</f>
        <v/>
      </c>
      <c r="E123" s="8">
        <f>IF(calibration_fit!E3="","",calibration_fit!E3)</f>
        <v/>
      </c>
      <c r="F123" s="10">
        <f>IF(calibration_fit!F3="","",calibration_fit!F3)</f>
        <v/>
      </c>
      <c r="G123">
        <f>IF(calibration_fit!G3="","",calibration_fit!G3)</f>
        <v/>
      </c>
      <c r="H123">
        <f>IF(calibration_fit!H3="","",calibration_fit!H3)</f>
        <v/>
      </c>
    </row>
    <row r="124">
      <c r="A124">
        <f>IF(calibration_fit!A4="","",calibration_fit!A4)</f>
        <v/>
      </c>
      <c r="B124" s="8">
        <f>IF(calibration_fit!B4="","",calibration_fit!B4)</f>
        <v/>
      </c>
      <c r="C124" s="8">
        <f>IF(calibration_fit!C4="","",calibration_fit!C4)</f>
        <v/>
      </c>
      <c r="D124" s="8">
        <f>IF(calibration_fit!D4="","",calibration_fit!D4)</f>
        <v/>
      </c>
      <c r="E124" s="8">
        <f>IF(calibration_fit!E4="","",calibration_fit!E4)</f>
        <v/>
      </c>
      <c r="F124" s="10">
        <f>IF(calibration_fit!F4="","",calibration_fit!F4)</f>
        <v/>
      </c>
      <c r="G124">
        <f>IF(calibration_fit!G4="","",calibration_fit!G4)</f>
        <v/>
      </c>
      <c r="H124">
        <f>IF(calibration_fit!H4="","",calibration_fit!H4)</f>
        <v/>
      </c>
    </row>
    <row r="125">
      <c r="A125">
        <f>IF(calibration_fit!A5="","",calibration_fit!A5)</f>
        <v/>
      </c>
      <c r="B125" s="8">
        <f>IF(calibration_fit!B5="","",calibration_fit!B5)</f>
        <v/>
      </c>
      <c r="C125" s="8">
        <f>IF(calibration_fit!C5="","",calibration_fit!C5)</f>
        <v/>
      </c>
      <c r="D125" s="8">
        <f>IF(calibration_fit!D5="","",calibration_fit!D5)</f>
        <v/>
      </c>
      <c r="E125" s="8">
        <f>IF(calibration_fit!E5="","",calibration_fit!E5)</f>
        <v/>
      </c>
      <c r="F125" s="10">
        <f>IF(calibration_fit!F5="","",calibration_fit!F5)</f>
        <v/>
      </c>
      <c r="G125">
        <f>IF(calibration_fit!G5="","",calibration_fit!G5)</f>
        <v/>
      </c>
      <c r="H125">
        <f>IF(calibration_fit!H5="","",calibration_fit!H5)</f>
        <v/>
      </c>
    </row>
    <row r="126">
      <c r="A126">
        <f>IF(calibration_fit!A6="","",calibration_fit!A6)</f>
        <v/>
      </c>
      <c r="B126" s="8">
        <f>IF(calibration_fit!B6="","",calibration_fit!B6)</f>
        <v/>
      </c>
      <c r="C126" s="8">
        <f>IF(calibration_fit!C6="","",calibration_fit!C6)</f>
        <v/>
      </c>
      <c r="D126" s="8">
        <f>IF(calibration_fit!D6="","",calibration_fit!D6)</f>
        <v/>
      </c>
      <c r="E126" s="8">
        <f>IF(calibration_fit!E6="","",calibration_fit!E6)</f>
        <v/>
      </c>
      <c r="F126" s="10">
        <f>IF(calibration_fit!F6="","",calibration_fit!F6)</f>
        <v/>
      </c>
      <c r="G126">
        <f>IF(calibration_fit!G6="","",calibration_fit!G6)</f>
        <v/>
      </c>
      <c r="H126">
        <f>IF(calibration_fit!H6="","",calibration_fit!H6)</f>
        <v/>
      </c>
    </row>
    <row r="127">
      <c r="A127">
        <f>IF(calibration_fit!A7="","",calibration_fit!A7)</f>
        <v/>
      </c>
      <c r="B127" s="8">
        <f>IF(calibration_fit!B7="","",calibration_fit!B7)</f>
        <v/>
      </c>
      <c r="C127" s="8">
        <f>IF(calibration_fit!C7="","",calibration_fit!C7)</f>
        <v/>
      </c>
      <c r="D127" s="8">
        <f>IF(calibration_fit!D7="","",calibration_fit!D7)</f>
        <v/>
      </c>
      <c r="E127" s="8">
        <f>IF(calibration_fit!E7="","",calibration_fit!E7)</f>
        <v/>
      </c>
      <c r="F127" s="10">
        <f>IF(calibration_fit!F7="","",calibration_fit!F7)</f>
        <v/>
      </c>
      <c r="G127">
        <f>IF(calibration_fit!G7="","",calibration_fit!G7)</f>
        <v/>
      </c>
      <c r="H127">
        <f>IF(calibration_fit!H7="","",calibration_fit!H7)</f>
        <v/>
      </c>
    </row>
    <row r="128">
      <c r="A128">
        <f>IF(calibration_fit!A8="","",calibration_fit!A8)</f>
        <v/>
      </c>
      <c r="B128" s="8">
        <f>IF(calibration_fit!B8="","",calibration_fit!B8)</f>
        <v/>
      </c>
      <c r="C128" s="8">
        <f>IF(calibration_fit!C8="","",calibration_fit!C8)</f>
        <v/>
      </c>
      <c r="D128" s="8">
        <f>IF(calibration_fit!D8="","",calibration_fit!D8)</f>
        <v/>
      </c>
      <c r="E128" s="8">
        <f>IF(calibration_fit!E8="","",calibration_fit!E8)</f>
        <v/>
      </c>
      <c r="F128" s="10">
        <f>IF(calibration_fit!F8="","",calibration_fit!F8)</f>
        <v/>
      </c>
      <c r="G128">
        <f>IF(calibration_fit!G8="","",calibration_fit!G8)</f>
        <v/>
      </c>
      <c r="H128">
        <f>IF(calibration_fit!H8="","",calibration_fit!H8)</f>
        <v/>
      </c>
    </row>
    <row r="129">
      <c r="A129">
        <f>IF(calibration_fit!A9="","",calibration_fit!A9)</f>
        <v/>
      </c>
      <c r="B129" s="8">
        <f>IF(calibration_fit!B9="","",calibration_fit!B9)</f>
        <v/>
      </c>
      <c r="C129" s="8">
        <f>IF(calibration_fit!C9="","",calibration_fit!C9)</f>
        <v/>
      </c>
      <c r="D129" s="8">
        <f>IF(calibration_fit!D9="","",calibration_fit!D9)</f>
        <v/>
      </c>
      <c r="E129" s="8">
        <f>IF(calibration_fit!E9="","",calibration_fit!E9)</f>
        <v/>
      </c>
      <c r="F129" s="10">
        <f>IF(calibration_fit!F9="","",calibration_fit!F9)</f>
        <v/>
      </c>
      <c r="G129">
        <f>IF(calibration_fit!G9="","",calibration_fit!G9)</f>
        <v/>
      </c>
      <c r="H129">
        <f>IF(calibration_fit!H9="","",calibration_fit!H9)</f>
        <v/>
      </c>
    </row>
    <row r="130">
      <c r="A130">
        <f>IF(calibration_fit!A10="","",calibration_fit!A10)</f>
        <v/>
      </c>
      <c r="B130" s="8">
        <f>IF(calibration_fit!B10="","",calibration_fit!B10)</f>
        <v/>
      </c>
      <c r="C130" s="8">
        <f>IF(calibration_fit!C10="","",calibration_fit!C10)</f>
        <v/>
      </c>
      <c r="D130" s="8">
        <f>IF(calibration_fit!D10="","",calibration_fit!D10)</f>
        <v/>
      </c>
      <c r="E130" s="8">
        <f>IF(calibration_fit!E10="","",calibration_fit!E10)</f>
        <v/>
      </c>
      <c r="F130" s="10">
        <f>IF(calibration_fit!F10="","",calibration_fit!F10)</f>
        <v/>
      </c>
      <c r="G130">
        <f>IF(calibration_fit!G10="","",calibration_fit!G10)</f>
        <v/>
      </c>
      <c r="H130">
        <f>IF(calibration_fit!H10="","",calibration_fit!H10)</f>
        <v/>
      </c>
    </row>
    <row r="131">
      <c r="A131">
        <f>IF(calibration_fit!A11="","",calibration_fit!A11)</f>
        <v/>
      </c>
      <c r="B131" s="8">
        <f>IF(calibration_fit!B11="","",calibration_fit!B11)</f>
        <v/>
      </c>
      <c r="C131" s="8">
        <f>IF(calibration_fit!C11="","",calibration_fit!C11)</f>
        <v/>
      </c>
      <c r="D131" s="8">
        <f>IF(calibration_fit!D11="","",calibration_fit!D11)</f>
        <v/>
      </c>
      <c r="E131" s="8">
        <f>IF(calibration_fit!E11="","",calibration_fit!E11)</f>
        <v/>
      </c>
      <c r="F131" s="10">
        <f>IF(calibration_fit!F11="","",calibration_fit!F11)</f>
        <v/>
      </c>
      <c r="G131">
        <f>IF(calibration_fit!G11="","",calibration_fit!G11)</f>
        <v/>
      </c>
      <c r="H131">
        <f>IF(calibration_fit!H11="","",calibration_fit!H11)</f>
        <v/>
      </c>
    </row>
    <row r="132">
      <c r="A132">
        <f>IF(calibration_fit!A12="","",calibration_fit!A12)</f>
        <v/>
      </c>
      <c r="B132" s="8">
        <f>IF(calibration_fit!B12="","",calibration_fit!B12)</f>
        <v/>
      </c>
      <c r="C132" s="8">
        <f>IF(calibration_fit!C12="","",calibration_fit!C12)</f>
        <v/>
      </c>
      <c r="D132" s="8">
        <f>IF(calibration_fit!D12="","",calibration_fit!D12)</f>
        <v/>
      </c>
      <c r="E132" s="8">
        <f>IF(calibration_fit!E12="","",calibration_fit!E12)</f>
        <v/>
      </c>
      <c r="F132" s="10">
        <f>IF(calibration_fit!F12="","",calibration_fit!F12)</f>
        <v/>
      </c>
      <c r="G132">
        <f>IF(calibration_fit!G12="","",calibration_fit!G12)</f>
        <v/>
      </c>
      <c r="H132">
        <f>IF(calibration_fit!H12="","",calibration_fit!H12)</f>
        <v/>
      </c>
    </row>
    <row r="133">
      <c r="A133">
        <f>IF(calibration_fit!A13="","",calibration_fit!A13)</f>
        <v/>
      </c>
      <c r="B133" s="8">
        <f>IF(calibration_fit!B13="","",calibration_fit!B13)</f>
        <v/>
      </c>
      <c r="C133" s="8">
        <f>IF(calibration_fit!C13="","",calibration_fit!C13)</f>
        <v/>
      </c>
      <c r="D133" s="8">
        <f>IF(calibration_fit!D13="","",calibration_fit!D13)</f>
        <v/>
      </c>
      <c r="E133" s="8">
        <f>IF(calibration_fit!E13="","",calibration_fit!E13)</f>
        <v/>
      </c>
      <c r="F133" s="10">
        <f>IF(calibration_fit!F13="","",calibration_fit!F13)</f>
        <v/>
      </c>
      <c r="G133">
        <f>IF(calibration_fit!G13="","",calibration_fit!G13)</f>
        <v/>
      </c>
      <c r="H133">
        <f>IF(calibration_fit!H13="","",calibration_fit!H13)</f>
        <v/>
      </c>
    </row>
    <row r="134">
      <c r="A134">
        <f>IF(calibration_fit!A14="","",calibration_fit!A14)</f>
        <v/>
      </c>
      <c r="B134" s="8">
        <f>IF(calibration_fit!B14="","",calibration_fit!B14)</f>
        <v/>
      </c>
      <c r="C134" s="8">
        <f>IF(calibration_fit!C14="","",calibration_fit!C14)</f>
        <v/>
      </c>
      <c r="D134" s="8">
        <f>IF(calibration_fit!D14="","",calibration_fit!D14)</f>
        <v/>
      </c>
      <c r="E134" s="8">
        <f>IF(calibration_fit!E14="","",calibration_fit!E14)</f>
        <v/>
      </c>
      <c r="F134" s="10">
        <f>IF(calibration_fit!F14="","",calibration_fit!F14)</f>
        <v/>
      </c>
      <c r="G134">
        <f>IF(calibration_fit!G14="","",calibration_fit!G14)</f>
        <v/>
      </c>
      <c r="H134">
        <f>IF(calibration_fit!H14="","",calibration_fit!H14)</f>
        <v/>
      </c>
    </row>
    <row r="135">
      <c r="A135">
        <f>IF(calibration_fit!A15="","",calibration_fit!A15)</f>
        <v/>
      </c>
      <c r="B135" s="8">
        <f>IF(calibration_fit!B15="","",calibration_fit!B15)</f>
        <v/>
      </c>
      <c r="C135" s="8">
        <f>IF(calibration_fit!C15="","",calibration_fit!C15)</f>
        <v/>
      </c>
      <c r="D135" s="8">
        <f>IF(calibration_fit!D15="","",calibration_fit!D15)</f>
        <v/>
      </c>
      <c r="E135" s="8">
        <f>IF(calibration_fit!E15="","",calibration_fit!E15)</f>
        <v/>
      </c>
      <c r="F135" s="10">
        <f>IF(calibration_fit!F15="","",calibration_fit!F15)</f>
        <v/>
      </c>
      <c r="G135">
        <f>IF(calibration_fit!G15="","",calibration_fit!G15)</f>
        <v/>
      </c>
      <c r="H135">
        <f>IF(calibration_fit!H15="","",calibration_fit!H15)</f>
        <v/>
      </c>
    </row>
    <row r="136">
      <c r="A136">
        <f>IF(calibration_fit!A16="","",calibration_fit!A16)</f>
        <v/>
      </c>
      <c r="B136" s="8">
        <f>IF(calibration_fit!B16="","",calibration_fit!B16)</f>
        <v/>
      </c>
      <c r="C136" s="8">
        <f>IF(calibration_fit!C16="","",calibration_fit!C16)</f>
        <v/>
      </c>
      <c r="D136" s="8">
        <f>IF(calibration_fit!D16="","",calibration_fit!D16)</f>
        <v/>
      </c>
      <c r="E136" s="8">
        <f>IF(calibration_fit!E16="","",calibration_fit!E16)</f>
        <v/>
      </c>
      <c r="F136" s="10">
        <f>IF(calibration_fit!F16="","",calibration_fit!F16)</f>
        <v/>
      </c>
      <c r="G136">
        <f>IF(calibration_fit!G16="","",calibration_fit!G16)</f>
        <v/>
      </c>
      <c r="H136">
        <f>IF(calibration_fit!H16="","",calibration_fit!H16)</f>
        <v/>
      </c>
    </row>
    <row r="137">
      <c r="A137">
        <f>IF(calibration_fit!A17="","",calibration_fit!A17)</f>
        <v/>
      </c>
      <c r="B137" s="8">
        <f>IF(calibration_fit!B17="","",calibration_fit!B17)</f>
        <v/>
      </c>
      <c r="C137" s="8">
        <f>IF(calibration_fit!C17="","",calibration_fit!C17)</f>
        <v/>
      </c>
      <c r="D137" s="8">
        <f>IF(calibration_fit!D17="","",calibration_fit!D17)</f>
        <v/>
      </c>
      <c r="E137" s="8">
        <f>IF(calibration_fit!E17="","",calibration_fit!E17)</f>
        <v/>
      </c>
      <c r="F137" s="10">
        <f>IF(calibration_fit!F17="","",calibration_fit!F17)</f>
        <v/>
      </c>
      <c r="G137">
        <f>IF(calibration_fit!G17="","",calibration_fit!G17)</f>
        <v/>
      </c>
      <c r="H137">
        <f>IF(calibration_fit!H17="","",calibration_fit!H17)</f>
        <v/>
      </c>
    </row>
    <row r="138">
      <c r="A138">
        <f>IF(calibration_fit!A18="","",calibration_fit!A18)</f>
        <v/>
      </c>
      <c r="B138" s="8">
        <f>IF(calibration_fit!B18="","",calibration_fit!B18)</f>
        <v/>
      </c>
      <c r="C138" s="8">
        <f>IF(calibration_fit!C18="","",calibration_fit!C18)</f>
        <v/>
      </c>
      <c r="D138" s="8">
        <f>IF(calibration_fit!D18="","",calibration_fit!D18)</f>
        <v/>
      </c>
      <c r="E138" s="8">
        <f>IF(calibration_fit!E18="","",calibration_fit!E18)</f>
        <v/>
      </c>
      <c r="F138" s="10">
        <f>IF(calibration_fit!F18="","",calibration_fit!F18)</f>
        <v/>
      </c>
      <c r="G138">
        <f>IF(calibration_fit!G18="","",calibration_fit!G18)</f>
        <v/>
      </c>
      <c r="H138">
        <f>IF(calibration_fit!H18="","",calibration_fit!H18)</f>
        <v/>
      </c>
    </row>
    <row r="139">
      <c r="A139">
        <f>IF(calibration_fit!A19="","",calibration_fit!A19)</f>
        <v/>
      </c>
      <c r="B139" s="8">
        <f>IF(calibration_fit!B19="","",calibration_fit!B19)</f>
        <v/>
      </c>
      <c r="C139" s="8">
        <f>IF(calibration_fit!C19="","",calibration_fit!C19)</f>
        <v/>
      </c>
      <c r="D139" s="8">
        <f>IF(calibration_fit!D19="","",calibration_fit!D19)</f>
        <v/>
      </c>
      <c r="E139" s="8">
        <f>IF(calibration_fit!E19="","",calibration_fit!E19)</f>
        <v/>
      </c>
      <c r="F139" s="10">
        <f>IF(calibration_fit!F19="","",calibration_fit!F19)</f>
        <v/>
      </c>
      <c r="G139">
        <f>IF(calibration_fit!G19="","",calibration_fit!G19)</f>
        <v/>
      </c>
      <c r="H139">
        <f>IF(calibration_fit!H19="","",calibration_fit!H19)</f>
        <v/>
      </c>
    </row>
    <row r="140">
      <c r="A140">
        <f>IF(calibration_fit!A20="","",calibration_fit!A20)</f>
        <v/>
      </c>
      <c r="B140" s="8">
        <f>IF(calibration_fit!B20="","",calibration_fit!B20)</f>
        <v/>
      </c>
      <c r="C140" s="8">
        <f>IF(calibration_fit!C20="","",calibration_fit!C20)</f>
        <v/>
      </c>
      <c r="D140" s="8">
        <f>IF(calibration_fit!D20="","",calibration_fit!D20)</f>
        <v/>
      </c>
      <c r="E140" s="8">
        <f>IF(calibration_fit!E20="","",calibration_fit!E20)</f>
        <v/>
      </c>
      <c r="F140" s="10">
        <f>IF(calibration_fit!F20="","",calibration_fit!F20)</f>
        <v/>
      </c>
      <c r="G140">
        <f>IF(calibration_fit!G20="","",calibration_fit!G20)</f>
        <v/>
      </c>
      <c r="H140">
        <f>IF(calibration_fit!H20="","",calibration_fit!H20)</f>
        <v/>
      </c>
    </row>
    <row r="141">
      <c r="A141">
        <f>IF(calibration_fit!A21="","",calibration_fit!A21)</f>
        <v/>
      </c>
      <c r="B141" s="8">
        <f>IF(calibration_fit!B21="","",calibration_fit!B21)</f>
        <v/>
      </c>
      <c r="C141" s="8">
        <f>IF(calibration_fit!C21="","",calibration_fit!C21)</f>
        <v/>
      </c>
      <c r="D141" s="8">
        <f>IF(calibration_fit!D21="","",calibration_fit!D21)</f>
        <v/>
      </c>
      <c r="E141" s="8">
        <f>IF(calibration_fit!E21="","",calibration_fit!E21)</f>
        <v/>
      </c>
      <c r="F141" s="10">
        <f>IF(calibration_fit!F21="","",calibration_fit!F21)</f>
        <v/>
      </c>
      <c r="G141">
        <f>IF(calibration_fit!G21="","",calibration_fit!G21)</f>
        <v/>
      </c>
      <c r="H141">
        <f>IF(calibration_fit!H21="","",calibration_fit!H21)</f>
        <v/>
      </c>
    </row>
    <row r="142">
      <c r="A142">
        <f>IF(calibration_fit!A22="","",calibration_fit!A22)</f>
        <v/>
      </c>
      <c r="B142" s="8">
        <f>IF(calibration_fit!B22="","",calibration_fit!B22)</f>
        <v/>
      </c>
      <c r="C142" s="8">
        <f>IF(calibration_fit!C22="","",calibration_fit!C22)</f>
        <v/>
      </c>
      <c r="D142" s="8">
        <f>IF(calibration_fit!D22="","",calibration_fit!D22)</f>
        <v/>
      </c>
      <c r="E142" s="8">
        <f>IF(calibration_fit!E22="","",calibration_fit!E22)</f>
        <v/>
      </c>
      <c r="F142" s="10">
        <f>IF(calibration_fit!F22="","",calibration_fit!F22)</f>
        <v/>
      </c>
      <c r="G142">
        <f>IF(calibration_fit!G22="","",calibration_fit!G22)</f>
        <v/>
      </c>
      <c r="H142">
        <f>IF(calibration_fit!H22="","",calibration_fit!H22)</f>
        <v/>
      </c>
    </row>
    <row r="143">
      <c r="A143">
        <f>IF(calibration_fit!A23="","",calibration_fit!A23)</f>
        <v/>
      </c>
      <c r="B143" s="8">
        <f>IF(calibration_fit!B23="","",calibration_fit!B23)</f>
        <v/>
      </c>
      <c r="C143" s="8">
        <f>IF(calibration_fit!C23="","",calibration_fit!C23)</f>
        <v/>
      </c>
      <c r="D143" s="8">
        <f>IF(calibration_fit!D23="","",calibration_fit!D23)</f>
        <v/>
      </c>
      <c r="E143" s="8">
        <f>IF(calibration_fit!E23="","",calibration_fit!E23)</f>
        <v/>
      </c>
      <c r="F143" s="10">
        <f>IF(calibration_fit!F23="","",calibration_fit!F23)</f>
        <v/>
      </c>
      <c r="G143">
        <f>IF(calibration_fit!G23="","",calibration_fit!G23)</f>
        <v/>
      </c>
      <c r="H143">
        <f>IF(calibration_fit!H23="","",calibration_fit!H23)</f>
        <v/>
      </c>
    </row>
    <row r="144">
      <c r="A144">
        <f>IF(calibration_fit!A24="","",calibration_fit!A24)</f>
        <v/>
      </c>
      <c r="B144" s="8">
        <f>IF(calibration_fit!B24="","",calibration_fit!B24)</f>
        <v/>
      </c>
      <c r="C144" s="8">
        <f>IF(calibration_fit!C24="","",calibration_fit!C24)</f>
        <v/>
      </c>
      <c r="D144" s="8">
        <f>IF(calibration_fit!D24="","",calibration_fit!D24)</f>
        <v/>
      </c>
      <c r="E144" s="8">
        <f>IF(calibration_fit!E24="","",calibration_fit!E24)</f>
        <v/>
      </c>
      <c r="F144" s="10">
        <f>IF(calibration_fit!F24="","",calibration_fit!F24)</f>
        <v/>
      </c>
      <c r="G144">
        <f>IF(calibration_fit!G24="","",calibration_fit!G24)</f>
        <v/>
      </c>
      <c r="H144">
        <f>IF(calibration_fit!H24="","",calibration_fit!H24)</f>
        <v/>
      </c>
    </row>
    <row r="145">
      <c r="A145">
        <f>IF(calibration_fit!A25="","",calibration_fit!A25)</f>
        <v/>
      </c>
      <c r="B145" s="8">
        <f>IF(calibration_fit!B25="","",calibration_fit!B25)</f>
        <v/>
      </c>
      <c r="C145" s="8">
        <f>IF(calibration_fit!C25="","",calibration_fit!C25)</f>
        <v/>
      </c>
      <c r="D145" s="8">
        <f>IF(calibration_fit!D25="","",calibration_fit!D25)</f>
        <v/>
      </c>
      <c r="E145" s="8">
        <f>IF(calibration_fit!E25="","",calibration_fit!E25)</f>
        <v/>
      </c>
      <c r="F145" s="10">
        <f>IF(calibration_fit!F25="","",calibration_fit!F25)</f>
        <v/>
      </c>
      <c r="G145">
        <f>IF(calibration_fit!G25="","",calibration_fit!G25)</f>
        <v/>
      </c>
      <c r="H145">
        <f>IF(calibration_fit!H25="","",calibration_fit!H25)</f>
        <v/>
      </c>
    </row>
    <row r="146">
      <c r="A146">
        <f>IF(calibration_fit!A26="","",calibration_fit!A26)</f>
        <v/>
      </c>
      <c r="B146" s="8">
        <f>IF(calibration_fit!B26="","",calibration_fit!B26)</f>
        <v/>
      </c>
      <c r="C146" s="8">
        <f>IF(calibration_fit!C26="","",calibration_fit!C26)</f>
        <v/>
      </c>
      <c r="D146" s="8">
        <f>IF(calibration_fit!D26="","",calibration_fit!D26)</f>
        <v/>
      </c>
      <c r="E146" s="8">
        <f>IF(calibration_fit!E26="","",calibration_fit!E26)</f>
        <v/>
      </c>
      <c r="F146" s="10">
        <f>IF(calibration_fit!F26="","",calibration_fit!F26)</f>
        <v/>
      </c>
      <c r="G146">
        <f>IF(calibration_fit!G26="","",calibration_fit!G26)</f>
        <v/>
      </c>
      <c r="H146">
        <f>IF(calibration_fit!H26="","",calibration_fit!H26)</f>
        <v/>
      </c>
    </row>
    <row r="147">
      <c r="A147">
        <f>IF(calibration_fit!A27="","",calibration_fit!A27)</f>
        <v/>
      </c>
      <c r="B147" s="8">
        <f>IF(calibration_fit!B27="","",calibration_fit!B27)</f>
        <v/>
      </c>
      <c r="C147" s="8">
        <f>IF(calibration_fit!C27="","",calibration_fit!C27)</f>
        <v/>
      </c>
      <c r="D147" s="8">
        <f>IF(calibration_fit!D27="","",calibration_fit!D27)</f>
        <v/>
      </c>
      <c r="E147" s="8">
        <f>IF(calibration_fit!E27="","",calibration_fit!E27)</f>
        <v/>
      </c>
      <c r="F147" s="10">
        <f>IF(calibration_fit!F27="","",calibration_fit!F27)</f>
        <v/>
      </c>
      <c r="G147">
        <f>IF(calibration_fit!G27="","",calibration_fit!G27)</f>
        <v/>
      </c>
      <c r="H147">
        <f>IF(calibration_fit!H27="","",calibration_fit!H27)</f>
        <v/>
      </c>
    </row>
    <row r="148">
      <c r="A148">
        <f>IF(calibration_fit!A28="","",calibration_fit!A28)</f>
        <v/>
      </c>
      <c r="B148" s="8">
        <f>IF(calibration_fit!B28="","",calibration_fit!B28)</f>
        <v/>
      </c>
      <c r="C148" s="8">
        <f>IF(calibration_fit!C28="","",calibration_fit!C28)</f>
        <v/>
      </c>
      <c r="D148" s="8">
        <f>IF(calibration_fit!D28="","",calibration_fit!D28)</f>
        <v/>
      </c>
      <c r="E148" s="8">
        <f>IF(calibration_fit!E28="","",calibration_fit!E28)</f>
        <v/>
      </c>
      <c r="F148" s="10">
        <f>IF(calibration_fit!F28="","",calibration_fit!F28)</f>
        <v/>
      </c>
      <c r="G148">
        <f>IF(calibration_fit!G28="","",calibration_fit!G28)</f>
        <v/>
      </c>
      <c r="H148">
        <f>IF(calibration_fit!H28="","",calibration_fit!H28)</f>
        <v/>
      </c>
    </row>
    <row r="149">
      <c r="A149">
        <f>IF(calibration_fit!A29="","",calibration_fit!A29)</f>
        <v/>
      </c>
      <c r="B149" s="8">
        <f>IF(calibration_fit!B29="","",calibration_fit!B29)</f>
        <v/>
      </c>
      <c r="C149" s="8">
        <f>IF(calibration_fit!C29="","",calibration_fit!C29)</f>
        <v/>
      </c>
      <c r="D149" s="8">
        <f>IF(calibration_fit!D29="","",calibration_fit!D29)</f>
        <v/>
      </c>
      <c r="E149" s="8">
        <f>IF(calibration_fit!E29="","",calibration_fit!E29)</f>
        <v/>
      </c>
      <c r="F149" s="10">
        <f>IF(calibration_fit!F29="","",calibration_fit!F29)</f>
        <v/>
      </c>
      <c r="G149">
        <f>IF(calibration_fit!G29="","",calibration_fit!G29)</f>
        <v/>
      </c>
      <c r="H149">
        <f>IF(calibration_fit!H29="","",calibration_fit!H29)</f>
        <v/>
      </c>
    </row>
    <row r="150">
      <c r="A150">
        <f>IF(calibration_fit!A30="","",calibration_fit!A30)</f>
        <v/>
      </c>
      <c r="B150" s="8">
        <f>IF(calibration_fit!B30="","",calibration_fit!B30)</f>
        <v/>
      </c>
      <c r="C150" s="8">
        <f>IF(calibration_fit!C30="","",calibration_fit!C30)</f>
        <v/>
      </c>
      <c r="D150" s="8">
        <f>IF(calibration_fit!D30="","",calibration_fit!D30)</f>
        <v/>
      </c>
      <c r="E150" s="8">
        <f>IF(calibration_fit!E30="","",calibration_fit!E30)</f>
        <v/>
      </c>
      <c r="F150" s="10">
        <f>IF(calibration_fit!F30="","",calibration_fit!F30)</f>
        <v/>
      </c>
      <c r="G150">
        <f>IF(calibration_fit!G30="","",calibration_fit!G30)</f>
        <v/>
      </c>
      <c r="H150">
        <f>IF(calibration_fit!H30="","",calibration_fit!H30)</f>
        <v/>
      </c>
    </row>
    <row r="151">
      <c r="A151">
        <f>IF(calibration_fit!A31="","",calibration_fit!A31)</f>
        <v/>
      </c>
      <c r="B151" s="8">
        <f>IF(calibration_fit!B31="","",calibration_fit!B31)</f>
        <v/>
      </c>
      <c r="C151" s="8">
        <f>IF(calibration_fit!C31="","",calibration_fit!C31)</f>
        <v/>
      </c>
      <c r="D151" s="8">
        <f>IF(calibration_fit!D31="","",calibration_fit!D31)</f>
        <v/>
      </c>
      <c r="E151" s="8">
        <f>IF(calibration_fit!E31="","",calibration_fit!E31)</f>
        <v/>
      </c>
      <c r="F151" s="10">
        <f>IF(calibration_fit!F31="","",calibration_fit!F31)</f>
        <v/>
      </c>
      <c r="G151">
        <f>IF(calibration_fit!G31="","",calibration_fit!G31)</f>
        <v/>
      </c>
      <c r="H151">
        <f>IF(calibration_fit!H31="","",calibration_fit!H31)</f>
        <v/>
      </c>
    </row>
    <row r="153">
      <c r="A153" s="3" t="inlineStr">
        <is>
          <t>Weights by group (weight_groups.csv)</t>
        </is>
      </c>
    </row>
    <row r="154">
      <c r="A154" s="6" t="inlineStr">
        <is>
          <t>stage</t>
        </is>
      </c>
      <c r="B154" s="6" t="inlineStr">
        <is>
          <t>variable</t>
        </is>
      </c>
      <c r="C154" s="6" t="inlineStr">
        <is>
          <t>group_var</t>
        </is>
      </c>
      <c r="D154" s="6" t="inlineStr">
        <is>
          <t>group</t>
        </is>
      </c>
      <c r="E154" s="6" t="inlineStr">
        <is>
          <t>n</t>
        </is>
      </c>
      <c r="F154" s="6" t="inlineStr">
        <is>
          <t>sum</t>
        </is>
      </c>
      <c r="G154" s="6" t="inlineStr">
        <is>
          <t>mean</t>
        </is>
      </c>
      <c r="H154" s="6" t="inlineStr">
        <is>
          <t>cv</t>
        </is>
      </c>
    </row>
    <row r="155">
      <c r="A155">
        <f>IF(weight_groups!A2="","",weight_groups!A2)</f>
        <v/>
      </c>
      <c r="B155">
        <f>IF(weight_groups!B2="","",weight_groups!B2)</f>
        <v/>
      </c>
      <c r="C155">
        <f>IF(weight_groups!C2="","",weight_groups!C2)</f>
        <v/>
      </c>
      <c r="D155">
        <f>IF(weight_groups!D2="","",weight_groups!D2)</f>
        <v/>
      </c>
      <c r="E155" s="7">
        <f>IF(weight_groups!E2="","",weight_groups!E2)</f>
        <v/>
      </c>
      <c r="F155" s="8">
        <f>IF(weight_groups!F2="","",weight_groups!F2)</f>
        <v/>
      </c>
      <c r="G155" s="8">
        <f>IF(weight_groups!G2="","",weight_groups!G2)</f>
        <v/>
      </c>
      <c r="H155" s="9">
        <f>IF(weight_groups!H2="","",weight_groups!H2)</f>
        <v/>
      </c>
    </row>
    <row r="156">
      <c r="A156">
        <f>IF(weight_groups!A3="","",weight_groups!A3)</f>
        <v/>
      </c>
      <c r="B156">
        <f>IF(weight_groups!B3="","",weight_groups!B3)</f>
        <v/>
      </c>
      <c r="C156">
        <f>IF(weight_groups!C3="","",weight_groups!C3)</f>
        <v/>
      </c>
      <c r="D156">
        <f>IF(weight_groups!D3="","",weight_groups!D3)</f>
        <v/>
      </c>
      <c r="E156" s="7">
        <f>IF(weight_groups!E3="","",weight_groups!E3)</f>
        <v/>
      </c>
      <c r="F156" s="8">
        <f>IF(weight_groups!F3="","",weight_groups!F3)</f>
        <v/>
      </c>
      <c r="G156" s="8">
        <f>IF(weight_groups!G3="","",weight_groups!G3)</f>
        <v/>
      </c>
      <c r="H156" s="9">
        <f>IF(weight_groups!H3="","",weight_groups!H3)</f>
        <v/>
      </c>
    </row>
    <row r="157">
      <c r="A157">
        <f>IF(weight_groups!A4="","",weight_groups!A4)</f>
        <v/>
      </c>
      <c r="B157">
        <f>IF(weight_groups!B4="","",weight_groups!B4)</f>
        <v/>
      </c>
      <c r="C157">
        <f>IF(weight_groups!C4="","",weight_groups!C4)</f>
        <v/>
      </c>
      <c r="D157">
        <f>IF(weight_groups!D4="","",weight_groups!D4)</f>
        <v/>
      </c>
      <c r="E157" s="7">
        <f>IF(weight_groups!E4="","",weight_groups!E4)</f>
        <v/>
      </c>
      <c r="F157" s="8">
        <f>IF(weight_groups!F4="","",weight_groups!F4)</f>
        <v/>
      </c>
      <c r="G157" s="8">
        <f>IF(weight_groups!G4="","",weight_groups!G4)</f>
        <v/>
      </c>
      <c r="H157" s="9">
        <f>IF(weight_groups!H4="","",weight_groups!H4)</f>
        <v/>
      </c>
    </row>
    <row r="158">
      <c r="A158">
        <f>IF(weight_groups!A5="","",weight_groups!A5)</f>
        <v/>
      </c>
      <c r="B158">
        <f>IF(weight_groups!B5="","",weight_groups!B5)</f>
        <v/>
      </c>
      <c r="C158">
        <f>IF(weight_groups!C5="","",weight_groups!C5)</f>
        <v/>
      </c>
      <c r="D158">
        <f>IF(weight_groups!D5="","",weight_groups!D5)</f>
        <v/>
      </c>
      <c r="E158" s="7">
        <f>IF(weight_groups!E5="","",weight_groups!E5)</f>
        <v/>
      </c>
      <c r="F158" s="8">
        <f>IF(weight_groups!F5="","",weight_groups!F5)</f>
        <v/>
      </c>
      <c r="G158" s="8">
        <f>IF(weight_groups!G5="","",weight_groups!G5)</f>
        <v/>
      </c>
      <c r="H158" s="9">
        <f>IF(weight_groups!H5="","",weight_groups!H5)</f>
        <v/>
      </c>
    </row>
    <row r="159">
      <c r="A159">
        <f>IF(weight_groups!A6="","",weight_groups!A6)</f>
        <v/>
      </c>
      <c r="B159">
        <f>IF(weight_groups!B6="","",weight_groups!B6)</f>
        <v/>
      </c>
      <c r="C159">
        <f>IF(weight_groups!C6="","",weight_groups!C6)</f>
        <v/>
      </c>
      <c r="D159">
        <f>IF(weight_groups!D6="","",weight_groups!D6)</f>
        <v/>
      </c>
      <c r="E159" s="7">
        <f>IF(weight_groups!E6="","",weight_groups!E6)</f>
        <v/>
      </c>
      <c r="F159" s="8">
        <f>IF(weight_groups!F6="","",weight_groups!F6)</f>
        <v/>
      </c>
      <c r="G159" s="8">
        <f>IF(weight_groups!G6="","",weight_groups!G6)</f>
        <v/>
      </c>
      <c r="H159" s="9">
        <f>IF(weight_groups!H6="","",weight_groups!H6)</f>
        <v/>
      </c>
    </row>
    <row r="160">
      <c r="A160">
        <f>IF(weight_groups!A7="","",weight_groups!A7)</f>
        <v/>
      </c>
      <c r="B160">
        <f>IF(weight_groups!B7="","",weight_groups!B7)</f>
        <v/>
      </c>
      <c r="C160">
        <f>IF(weight_groups!C7="","",weight_groups!C7)</f>
        <v/>
      </c>
      <c r="D160">
        <f>IF(weight_groups!D7="","",weight_groups!D7)</f>
        <v/>
      </c>
      <c r="E160" s="7">
        <f>IF(weight_groups!E7="","",weight_groups!E7)</f>
        <v/>
      </c>
      <c r="F160" s="8">
        <f>IF(weight_groups!F7="","",weight_groups!F7)</f>
        <v/>
      </c>
      <c r="G160" s="8">
        <f>IF(weight_groups!G7="","",weight_groups!G7)</f>
        <v/>
      </c>
      <c r="H160" s="9">
        <f>IF(weight_groups!H7="","",weight_groups!H7)</f>
        <v/>
      </c>
    </row>
    <row r="161">
      <c r="A161">
        <f>IF(weight_groups!A8="","",weight_groups!A8)</f>
        <v/>
      </c>
      <c r="B161">
        <f>IF(weight_groups!B8="","",weight_groups!B8)</f>
        <v/>
      </c>
      <c r="C161">
        <f>IF(weight_groups!C8="","",weight_groups!C8)</f>
        <v/>
      </c>
      <c r="D161">
        <f>IF(weight_groups!D8="","",weight_groups!D8)</f>
        <v/>
      </c>
      <c r="E161" s="7">
        <f>IF(weight_groups!E8="","",weight_groups!E8)</f>
        <v/>
      </c>
      <c r="F161" s="8">
        <f>IF(weight_groups!F8="","",weight_groups!F8)</f>
        <v/>
      </c>
      <c r="G161" s="8">
        <f>IF(weight_groups!G8="","",weight_groups!G8)</f>
        <v/>
      </c>
      <c r="H161" s="9">
        <f>IF(weight_groups!H8="","",weight_groups!H8)</f>
        <v/>
      </c>
    </row>
    <row r="162">
      <c r="A162">
        <f>IF(weight_groups!A9="","",weight_groups!A9)</f>
        <v/>
      </c>
      <c r="B162">
        <f>IF(weight_groups!B9="","",weight_groups!B9)</f>
        <v/>
      </c>
      <c r="C162">
        <f>IF(weight_groups!C9="","",weight_groups!C9)</f>
        <v/>
      </c>
      <c r="D162">
        <f>IF(weight_groups!D9="","",weight_groups!D9)</f>
        <v/>
      </c>
      <c r="E162" s="7">
        <f>IF(weight_groups!E9="","",weight_groups!E9)</f>
        <v/>
      </c>
      <c r="F162" s="8">
        <f>IF(weight_groups!F9="","",weight_groups!F9)</f>
        <v/>
      </c>
      <c r="G162" s="8">
        <f>IF(weight_groups!G9="","",weight_groups!G9)</f>
        <v/>
      </c>
      <c r="H162" s="9">
        <f>IF(weight_groups!H9="","",weight_groups!H9)</f>
        <v/>
      </c>
    </row>
    <row r="163">
      <c r="A163">
        <f>IF(weight_groups!A10="","",weight_groups!A10)</f>
        <v/>
      </c>
      <c r="B163">
        <f>IF(weight_groups!B10="","",weight_groups!B10)</f>
        <v/>
      </c>
      <c r="C163">
        <f>IF(weight_groups!C10="","",weight_groups!C10)</f>
        <v/>
      </c>
      <c r="D163">
        <f>IF(weight_groups!D10="","",weight_groups!D10)</f>
        <v/>
      </c>
      <c r="E163" s="7">
        <f>IF(weight_groups!E10="","",weight_groups!E10)</f>
        <v/>
      </c>
      <c r="F163" s="8">
        <f>IF(weight_groups!F10="","",weight_groups!F10)</f>
        <v/>
      </c>
      <c r="G163" s="8">
        <f>IF(weight_groups!G10="","",weight_groups!G10)</f>
        <v/>
      </c>
      <c r="H163" s="9">
        <f>IF(weight_groups!H10="","",weight_groups!H10)</f>
        <v/>
      </c>
    </row>
    <row r="164">
      <c r="A164">
        <f>IF(weight_groups!A11="","",weight_groups!A11)</f>
        <v/>
      </c>
      <c r="B164">
        <f>IF(weight_groups!B11="","",weight_groups!B11)</f>
        <v/>
      </c>
      <c r="C164">
        <f>IF(weight_groups!C11="","",weight_groups!C11)</f>
        <v/>
      </c>
      <c r="D164">
        <f>IF(weight_groups!D11="","",weight_groups!D11)</f>
        <v/>
      </c>
      <c r="E164" s="7">
        <f>IF(weight_groups!E11="","",weight_groups!E11)</f>
        <v/>
      </c>
      <c r="F164" s="8">
        <f>IF(weight_groups!F11="","",weight_groups!F11)</f>
        <v/>
      </c>
      <c r="G164" s="8">
        <f>IF(weight_groups!G11="","",weight_groups!G11)</f>
        <v/>
      </c>
      <c r="H164" s="9">
        <f>IF(weight_groups!H11="","",weight_groups!H11)</f>
        <v/>
      </c>
    </row>
    <row r="165">
      <c r="A165">
        <f>IF(weight_groups!A12="","",weight_groups!A12)</f>
        <v/>
      </c>
      <c r="B165">
        <f>IF(weight_groups!B12="","",weight_groups!B12)</f>
        <v/>
      </c>
      <c r="C165">
        <f>IF(weight_groups!C12="","",weight_groups!C12)</f>
        <v/>
      </c>
      <c r="D165">
        <f>IF(weight_groups!D12="","",weight_groups!D12)</f>
        <v/>
      </c>
      <c r="E165" s="7">
        <f>IF(weight_groups!E12="","",weight_groups!E12)</f>
        <v/>
      </c>
      <c r="F165" s="8">
        <f>IF(weight_groups!F12="","",weight_groups!F12)</f>
        <v/>
      </c>
      <c r="G165" s="8">
        <f>IF(weight_groups!G12="","",weight_groups!G12)</f>
        <v/>
      </c>
      <c r="H165" s="9">
        <f>IF(weight_groups!H12="","",weight_groups!H12)</f>
        <v/>
      </c>
    </row>
    <row r="166">
      <c r="A166">
        <f>IF(weight_groups!A13="","",weight_groups!A13)</f>
        <v/>
      </c>
      <c r="B166">
        <f>IF(weight_groups!B13="","",weight_groups!B13)</f>
        <v/>
      </c>
      <c r="C166">
        <f>IF(weight_groups!C13="","",weight_groups!C13)</f>
        <v/>
      </c>
      <c r="D166">
        <f>IF(weight_groups!D13="","",weight_groups!D13)</f>
        <v/>
      </c>
      <c r="E166" s="7">
        <f>IF(weight_groups!E13="","",weight_groups!E13)</f>
        <v/>
      </c>
      <c r="F166" s="8">
        <f>IF(weight_groups!F13="","",weight_groups!F13)</f>
        <v/>
      </c>
      <c r="G166" s="8">
        <f>IF(weight_groups!G13="","",weight_groups!G13)</f>
        <v/>
      </c>
      <c r="H166" s="9">
        <f>IF(weight_groups!H13="","",weight_groups!H13)</f>
        <v/>
      </c>
    </row>
    <row r="167">
      <c r="A167">
        <f>IF(weight_groups!A14="","",weight_groups!A14)</f>
        <v/>
      </c>
      <c r="B167">
        <f>IF(weight_groups!B14="","",weight_groups!B14)</f>
        <v/>
      </c>
      <c r="C167">
        <f>IF(weight_groups!C14="","",weight_groups!C14)</f>
        <v/>
      </c>
      <c r="D167">
        <f>IF(weight_groups!D14="","",weight_groups!D14)</f>
        <v/>
      </c>
      <c r="E167" s="7">
        <f>IF(weight_groups!E14="","",weight_groups!E14)</f>
        <v/>
      </c>
      <c r="F167" s="8">
        <f>IF(weight_groups!F14="","",weight_groups!F14)</f>
        <v/>
      </c>
      <c r="G167" s="8">
        <f>IF(weight_groups!G14="","",weight_groups!G14)</f>
        <v/>
      </c>
      <c r="H167" s="9">
        <f>IF(weight_groups!H14="","",weight_groups!H14)</f>
        <v/>
      </c>
    </row>
    <row r="168">
      <c r="A168">
        <f>IF(weight_groups!A15="","",weight_groups!A15)</f>
        <v/>
      </c>
      <c r="B168">
        <f>IF(weight_groups!B15="","",weight_groups!B15)</f>
        <v/>
      </c>
      <c r="C168">
        <f>IF(weight_groups!C15="","",weight_groups!C15)</f>
        <v/>
      </c>
      <c r="D168">
        <f>IF(weight_groups!D15="","",weight_groups!D15)</f>
        <v/>
      </c>
      <c r="E168" s="7">
        <f>IF(weight_groups!E15="","",weight_groups!E15)</f>
        <v/>
      </c>
      <c r="F168" s="8">
        <f>IF(weight_groups!F15="","",weight_groups!F15)</f>
        <v/>
      </c>
      <c r="G168" s="8">
        <f>IF(weight_groups!G15="","",weight_groups!G15)</f>
        <v/>
      </c>
      <c r="H168" s="9">
        <f>IF(weight_groups!H15="","",weight_groups!H15)</f>
        <v/>
      </c>
    </row>
    <row r="169">
      <c r="A169">
        <f>IF(weight_groups!A16="","",weight_groups!A16)</f>
        <v/>
      </c>
      <c r="B169">
        <f>IF(weight_groups!B16="","",weight_groups!B16)</f>
        <v/>
      </c>
      <c r="C169">
        <f>IF(weight_groups!C16="","",weight_groups!C16)</f>
        <v/>
      </c>
      <c r="D169">
        <f>IF(weight_groups!D16="","",weight_groups!D16)</f>
        <v/>
      </c>
      <c r="E169" s="7">
        <f>IF(weight_groups!E16="","",weight_groups!E16)</f>
        <v/>
      </c>
      <c r="F169" s="8">
        <f>IF(weight_groups!F16="","",weight_groups!F16)</f>
        <v/>
      </c>
      <c r="G169" s="8">
        <f>IF(weight_groups!G16="","",weight_groups!G16)</f>
        <v/>
      </c>
      <c r="H169" s="9">
        <f>IF(weight_groups!H16="","",weight_groups!H16)</f>
        <v/>
      </c>
    </row>
    <row r="170">
      <c r="A170">
        <f>IF(weight_groups!A17="","",weight_groups!A17)</f>
        <v/>
      </c>
      <c r="B170">
        <f>IF(weight_groups!B17="","",weight_groups!B17)</f>
        <v/>
      </c>
      <c r="C170">
        <f>IF(weight_groups!C17="","",weight_groups!C17)</f>
        <v/>
      </c>
      <c r="D170">
        <f>IF(weight_groups!D17="","",weight_groups!D17)</f>
        <v/>
      </c>
      <c r="E170" s="7">
        <f>IF(weight_groups!E17="","",weight_groups!E17)</f>
        <v/>
      </c>
      <c r="F170" s="8">
        <f>IF(weight_groups!F17="","",weight_groups!F17)</f>
        <v/>
      </c>
      <c r="G170" s="8">
        <f>IF(weight_groups!G17="","",weight_groups!G17)</f>
        <v/>
      </c>
      <c r="H170" s="9">
        <f>IF(weight_groups!H17="","",weight_groups!H17)</f>
        <v/>
      </c>
    </row>
    <row r="171">
      <c r="A171">
        <f>IF(weight_groups!A18="","",weight_groups!A18)</f>
        <v/>
      </c>
      <c r="B171">
        <f>IF(weight_groups!B18="","",weight_groups!B18)</f>
        <v/>
      </c>
      <c r="C171">
        <f>IF(weight_groups!C18="","",weight_groups!C18)</f>
        <v/>
      </c>
      <c r="D171">
        <f>IF(weight_groups!D18="","",weight_groups!D18)</f>
        <v/>
      </c>
      <c r="E171" s="7">
        <f>IF(weight_groups!E18="","",weight_groups!E18)</f>
        <v/>
      </c>
      <c r="F171" s="8">
        <f>IF(weight_groups!F18="","",weight_groups!F18)</f>
        <v/>
      </c>
      <c r="G171" s="8">
        <f>IF(weight_groups!G18="","",weight_groups!G18)</f>
        <v/>
      </c>
      <c r="H171" s="9">
        <f>IF(weight_groups!H18="","",weight_groups!H18)</f>
        <v/>
      </c>
    </row>
    <row r="172">
      <c r="A172">
        <f>IF(weight_groups!A19="","",weight_groups!A19)</f>
        <v/>
      </c>
      <c r="B172">
        <f>IF(weight_groups!B19="","",weight_groups!B19)</f>
        <v/>
      </c>
      <c r="C172">
        <f>IF(weight_groups!C19="","",weight_groups!C19)</f>
        <v/>
      </c>
      <c r="D172">
        <f>IF(weight_groups!D19="","",weight_groups!D19)</f>
        <v/>
      </c>
      <c r="E172" s="7">
        <f>IF(weight_groups!E19="","",weight_groups!E19)</f>
        <v/>
      </c>
      <c r="F172" s="8">
        <f>IF(weight_groups!F19="","",weight_groups!F19)</f>
        <v/>
      </c>
      <c r="G172" s="8">
        <f>IF(weight_groups!G19="","",weight_groups!G19)</f>
        <v/>
      </c>
      <c r="H172" s="9">
        <f>IF(weight_groups!H19="","",weight_groups!H19)</f>
        <v/>
      </c>
    </row>
    <row r="173">
      <c r="A173">
        <f>IF(weight_groups!A20="","",weight_groups!A20)</f>
        <v/>
      </c>
      <c r="B173">
        <f>IF(weight_groups!B20="","",weight_groups!B20)</f>
        <v/>
      </c>
      <c r="C173">
        <f>IF(weight_groups!C20="","",weight_groups!C20)</f>
        <v/>
      </c>
      <c r="D173">
        <f>IF(weight_groups!D20="","",weight_groups!D20)</f>
        <v/>
      </c>
      <c r="E173" s="7">
        <f>IF(weight_groups!E20="","",weight_groups!E20)</f>
        <v/>
      </c>
      <c r="F173" s="8">
        <f>IF(weight_groups!F20="","",weight_groups!F20)</f>
        <v/>
      </c>
      <c r="G173" s="8">
        <f>IF(weight_groups!G20="","",weight_groups!G20)</f>
        <v/>
      </c>
      <c r="H173" s="9">
        <f>IF(weight_groups!H20="","",weight_groups!H20)</f>
        <v/>
      </c>
    </row>
    <row r="174">
      <c r="A174">
        <f>IF(weight_groups!A21="","",weight_groups!A21)</f>
        <v/>
      </c>
      <c r="B174">
        <f>IF(weight_groups!B21="","",weight_groups!B21)</f>
        <v/>
      </c>
      <c r="C174">
        <f>IF(weight_groups!C21="","",weight_groups!C21)</f>
        <v/>
      </c>
      <c r="D174">
        <f>IF(weight_groups!D21="","",weight_groups!D21)</f>
        <v/>
      </c>
      <c r="E174" s="7">
        <f>IF(weight_groups!E21="","",weight_groups!E21)</f>
        <v/>
      </c>
      <c r="F174" s="8">
        <f>IF(weight_groups!F21="","",weight_groups!F21)</f>
        <v/>
      </c>
      <c r="G174" s="8">
        <f>IF(weight_groups!G21="","",weight_groups!G21)</f>
        <v/>
      </c>
      <c r="H174" s="9">
        <f>IF(weight_groups!H21="","",weight_groups!H21)</f>
        <v/>
      </c>
    </row>
    <row r="175">
      <c r="A175">
        <f>IF(weight_groups!A22="","",weight_groups!A22)</f>
        <v/>
      </c>
      <c r="B175">
        <f>IF(weight_groups!B22="","",weight_groups!B22)</f>
        <v/>
      </c>
      <c r="C175">
        <f>IF(weight_groups!C22="","",weight_groups!C22)</f>
        <v/>
      </c>
      <c r="D175">
        <f>IF(weight_groups!D22="","",weight_groups!D22)</f>
        <v/>
      </c>
      <c r="E175" s="7">
        <f>IF(weight_groups!E22="","",weight_groups!E22)</f>
        <v/>
      </c>
      <c r="F175" s="8">
        <f>IF(weight_groups!F22="","",weight_groups!F22)</f>
        <v/>
      </c>
      <c r="G175" s="8">
        <f>IF(weight_groups!G22="","",weight_groups!G22)</f>
        <v/>
      </c>
      <c r="H175" s="9">
        <f>IF(weight_groups!H22="","",weight_groups!H22)</f>
        <v/>
      </c>
    </row>
    <row r="176">
      <c r="A176">
        <f>IF(weight_groups!A23="","",weight_groups!A23)</f>
        <v/>
      </c>
      <c r="B176">
        <f>IF(weight_groups!B23="","",weight_groups!B23)</f>
        <v/>
      </c>
      <c r="C176">
        <f>IF(weight_groups!C23="","",weight_groups!C23)</f>
        <v/>
      </c>
      <c r="D176">
        <f>IF(weight_groups!D23="","",weight_groups!D23)</f>
        <v/>
      </c>
      <c r="E176" s="7">
        <f>IF(weight_groups!E23="","",weight_groups!E23)</f>
        <v/>
      </c>
      <c r="F176" s="8">
        <f>IF(weight_groups!F23="","",weight_groups!F23)</f>
        <v/>
      </c>
      <c r="G176" s="8">
        <f>IF(weight_groups!G23="","",weight_groups!G23)</f>
        <v/>
      </c>
      <c r="H176" s="9">
        <f>IF(weight_groups!H23="","",weight_groups!H23)</f>
        <v/>
      </c>
    </row>
    <row r="177">
      <c r="A177">
        <f>IF(weight_groups!A24="","",weight_groups!A24)</f>
        <v/>
      </c>
      <c r="B177">
        <f>IF(weight_groups!B24="","",weight_groups!B24)</f>
        <v/>
      </c>
      <c r="C177">
        <f>IF(weight_groups!C24="","",weight_groups!C24)</f>
        <v/>
      </c>
      <c r="D177">
        <f>IF(weight_groups!D24="","",weight_groups!D24)</f>
        <v/>
      </c>
      <c r="E177" s="7">
        <f>IF(weight_groups!E24="","",weight_groups!E24)</f>
        <v/>
      </c>
      <c r="F177" s="8">
        <f>IF(weight_groups!F24="","",weight_groups!F24)</f>
        <v/>
      </c>
      <c r="G177" s="8">
        <f>IF(weight_groups!G24="","",weight_groups!G24)</f>
        <v/>
      </c>
      <c r="H177" s="9">
        <f>IF(weight_groups!H24="","",weight_groups!H24)</f>
        <v/>
      </c>
    </row>
    <row r="178">
      <c r="A178">
        <f>IF(weight_groups!A25="","",weight_groups!A25)</f>
        <v/>
      </c>
      <c r="B178">
        <f>IF(weight_groups!B25="","",weight_groups!B25)</f>
        <v/>
      </c>
      <c r="C178">
        <f>IF(weight_groups!C25="","",weight_groups!C25)</f>
        <v/>
      </c>
      <c r="D178">
        <f>IF(weight_groups!D25="","",weight_groups!D25)</f>
        <v/>
      </c>
      <c r="E178" s="7">
        <f>IF(weight_groups!E25="","",weight_groups!E25)</f>
        <v/>
      </c>
      <c r="F178" s="8">
        <f>IF(weight_groups!F25="","",weight_groups!F25)</f>
        <v/>
      </c>
      <c r="G178" s="8">
        <f>IF(weight_groups!G25="","",weight_groups!G25)</f>
        <v/>
      </c>
      <c r="H178" s="9">
        <f>IF(weight_groups!H25="","",weight_groups!H25)</f>
        <v/>
      </c>
    </row>
    <row r="179">
      <c r="A179">
        <f>IF(weight_groups!A26="","",weight_groups!A26)</f>
        <v/>
      </c>
      <c r="B179">
        <f>IF(weight_groups!B26="","",weight_groups!B26)</f>
        <v/>
      </c>
      <c r="C179">
        <f>IF(weight_groups!C26="","",weight_groups!C26)</f>
        <v/>
      </c>
      <c r="D179">
        <f>IF(weight_groups!D26="","",weight_groups!D26)</f>
        <v/>
      </c>
      <c r="E179" s="7">
        <f>IF(weight_groups!E26="","",weight_groups!E26)</f>
        <v/>
      </c>
      <c r="F179" s="8">
        <f>IF(weight_groups!F26="","",weight_groups!F26)</f>
        <v/>
      </c>
      <c r="G179" s="8">
        <f>IF(weight_groups!G26="","",weight_groups!G26)</f>
        <v/>
      </c>
      <c r="H179" s="9">
        <f>IF(weight_groups!H26="","",weight_groups!H26)</f>
        <v/>
      </c>
    </row>
    <row r="180">
      <c r="A180">
        <f>IF(weight_groups!A27="","",weight_groups!A27)</f>
        <v/>
      </c>
      <c r="B180">
        <f>IF(weight_groups!B27="","",weight_groups!B27)</f>
        <v/>
      </c>
      <c r="C180">
        <f>IF(weight_groups!C27="","",weight_groups!C27)</f>
        <v/>
      </c>
      <c r="D180">
        <f>IF(weight_groups!D27="","",weight_groups!D27)</f>
        <v/>
      </c>
      <c r="E180" s="7">
        <f>IF(weight_groups!E27="","",weight_groups!E27)</f>
        <v/>
      </c>
      <c r="F180" s="8">
        <f>IF(weight_groups!F27="","",weight_groups!F27)</f>
        <v/>
      </c>
      <c r="G180" s="8">
        <f>IF(weight_groups!G27="","",weight_groups!G27)</f>
        <v/>
      </c>
      <c r="H180" s="9">
        <f>IF(weight_groups!H27="","",weight_groups!H27)</f>
        <v/>
      </c>
    </row>
    <row r="181">
      <c r="A181">
        <f>IF(weight_groups!A28="","",weight_groups!A28)</f>
        <v/>
      </c>
      <c r="B181">
        <f>IF(weight_groups!B28="","",weight_groups!B28)</f>
        <v/>
      </c>
      <c r="C181">
        <f>IF(weight_groups!C28="","",weight_groups!C28)</f>
        <v/>
      </c>
      <c r="D181">
        <f>IF(weight_groups!D28="","",weight_groups!D28)</f>
        <v/>
      </c>
      <c r="E181" s="7">
        <f>IF(weight_groups!E28="","",weight_groups!E28)</f>
        <v/>
      </c>
      <c r="F181" s="8">
        <f>IF(weight_groups!F28="","",weight_groups!F28)</f>
        <v/>
      </c>
      <c r="G181" s="8">
        <f>IF(weight_groups!G28="","",weight_groups!G28)</f>
        <v/>
      </c>
      <c r="H181" s="9">
        <f>IF(weight_groups!H28="","",weight_groups!H28)</f>
        <v/>
      </c>
    </row>
    <row r="182">
      <c r="A182">
        <f>IF(weight_groups!A29="","",weight_groups!A29)</f>
        <v/>
      </c>
      <c r="B182">
        <f>IF(weight_groups!B29="","",weight_groups!B29)</f>
        <v/>
      </c>
      <c r="C182">
        <f>IF(weight_groups!C29="","",weight_groups!C29)</f>
        <v/>
      </c>
      <c r="D182">
        <f>IF(weight_groups!D29="","",weight_groups!D29)</f>
        <v/>
      </c>
      <c r="E182" s="7">
        <f>IF(weight_groups!E29="","",weight_groups!E29)</f>
        <v/>
      </c>
      <c r="F182" s="8">
        <f>IF(weight_groups!F29="","",weight_groups!F29)</f>
        <v/>
      </c>
      <c r="G182" s="8">
        <f>IF(weight_groups!G29="","",weight_groups!G29)</f>
        <v/>
      </c>
      <c r="H182" s="9">
        <f>IF(weight_groups!H29="","",weight_groups!H29)</f>
        <v/>
      </c>
    </row>
    <row r="183">
      <c r="A183">
        <f>IF(weight_groups!A30="","",weight_groups!A30)</f>
        <v/>
      </c>
      <c r="B183">
        <f>IF(weight_groups!B30="","",weight_groups!B30)</f>
        <v/>
      </c>
      <c r="C183">
        <f>IF(weight_groups!C30="","",weight_groups!C30)</f>
        <v/>
      </c>
      <c r="D183">
        <f>IF(weight_groups!D30="","",weight_groups!D30)</f>
        <v/>
      </c>
      <c r="E183" s="7">
        <f>IF(weight_groups!E30="","",weight_groups!E30)</f>
        <v/>
      </c>
      <c r="F183" s="8">
        <f>IF(weight_groups!F30="","",weight_groups!F30)</f>
        <v/>
      </c>
      <c r="G183" s="8">
        <f>IF(weight_groups!G30="","",weight_groups!G30)</f>
        <v/>
      </c>
      <c r="H183" s="9">
        <f>IF(weight_groups!H30="","",weight_groups!H30)</f>
        <v/>
      </c>
    </row>
    <row r="184">
      <c r="A184">
        <f>IF(weight_groups!A31="","",weight_groups!A31)</f>
        <v/>
      </c>
      <c r="B184">
        <f>IF(weight_groups!B31="","",weight_groups!B31)</f>
        <v/>
      </c>
      <c r="C184">
        <f>IF(weight_groups!C31="","",weight_groups!C31)</f>
        <v/>
      </c>
      <c r="D184">
        <f>IF(weight_groups!D31="","",weight_groups!D31)</f>
        <v/>
      </c>
      <c r="E184" s="7">
        <f>IF(weight_groups!E31="","",weight_groups!E31)</f>
        <v/>
      </c>
      <c r="F184" s="8">
        <f>IF(weight_groups!F31="","",weight_groups!F31)</f>
        <v/>
      </c>
      <c r="G184" s="8">
        <f>IF(weight_groups!G31="","",weight_groups!G31)</f>
        <v/>
      </c>
      <c r="H184" s="9">
        <f>IF(weight_groups!H31="","",weight_groups!H31)</f>
        <v/>
      </c>
    </row>
    <row r="185">
      <c r="A185">
        <f>IF(weight_groups!A32="","",weight_groups!A32)</f>
        <v/>
      </c>
      <c r="B185">
        <f>IF(weight_groups!B32="","",weight_groups!B32)</f>
        <v/>
      </c>
      <c r="C185">
        <f>IF(weight_groups!C32="","",weight_groups!C32)</f>
        <v/>
      </c>
      <c r="D185">
        <f>IF(weight_groups!D32="","",weight_groups!D32)</f>
        <v/>
      </c>
      <c r="E185" s="7">
        <f>IF(weight_groups!E32="","",weight_groups!E32)</f>
        <v/>
      </c>
      <c r="F185" s="8">
        <f>IF(weight_groups!F32="","",weight_groups!F32)</f>
        <v/>
      </c>
      <c r="G185" s="8">
        <f>IF(weight_groups!G32="","",weight_groups!G32)</f>
        <v/>
      </c>
      <c r="H185" s="9">
        <f>IF(weight_groups!H32="","",weight_groups!H32)</f>
        <v/>
      </c>
    </row>
    <row r="186">
      <c r="A186">
        <f>IF(weight_groups!A33="","",weight_groups!A33)</f>
        <v/>
      </c>
      <c r="B186">
        <f>IF(weight_groups!B33="","",weight_groups!B33)</f>
        <v/>
      </c>
      <c r="C186">
        <f>IF(weight_groups!C33="","",weight_groups!C33)</f>
        <v/>
      </c>
      <c r="D186">
        <f>IF(weight_groups!D33="","",weight_groups!D33)</f>
        <v/>
      </c>
      <c r="E186" s="7">
        <f>IF(weight_groups!E33="","",weight_groups!E33)</f>
        <v/>
      </c>
      <c r="F186" s="8">
        <f>IF(weight_groups!F33="","",weight_groups!F33)</f>
        <v/>
      </c>
      <c r="G186" s="8">
        <f>IF(weight_groups!G33="","",weight_groups!G33)</f>
        <v/>
      </c>
      <c r="H186" s="9">
        <f>IF(weight_groups!H33="","",weight_groups!H33)</f>
        <v/>
      </c>
    </row>
    <row r="187">
      <c r="A187">
        <f>IF(weight_groups!A34="","",weight_groups!A34)</f>
        <v/>
      </c>
      <c r="B187">
        <f>IF(weight_groups!B34="","",weight_groups!B34)</f>
        <v/>
      </c>
      <c r="C187">
        <f>IF(weight_groups!C34="","",weight_groups!C34)</f>
        <v/>
      </c>
      <c r="D187">
        <f>IF(weight_groups!D34="","",weight_groups!D34)</f>
        <v/>
      </c>
      <c r="E187" s="7">
        <f>IF(weight_groups!E34="","",weight_groups!E34)</f>
        <v/>
      </c>
      <c r="F187" s="8">
        <f>IF(weight_groups!F34="","",weight_groups!F34)</f>
        <v/>
      </c>
      <c r="G187" s="8">
        <f>IF(weight_groups!G34="","",weight_groups!G34)</f>
        <v/>
      </c>
      <c r="H187" s="9">
        <f>IF(weight_groups!H34="","",weight_groups!H34)</f>
        <v/>
      </c>
    </row>
    <row r="188">
      <c r="A188">
        <f>IF(weight_groups!A35="","",weight_groups!A35)</f>
        <v/>
      </c>
      <c r="B188">
        <f>IF(weight_groups!B35="","",weight_groups!B35)</f>
        <v/>
      </c>
      <c r="C188">
        <f>IF(weight_groups!C35="","",weight_groups!C35)</f>
        <v/>
      </c>
      <c r="D188">
        <f>IF(weight_groups!D35="","",weight_groups!D35)</f>
        <v/>
      </c>
      <c r="E188" s="7">
        <f>IF(weight_groups!E35="","",weight_groups!E35)</f>
        <v/>
      </c>
      <c r="F188" s="8">
        <f>IF(weight_groups!F35="","",weight_groups!F35)</f>
        <v/>
      </c>
      <c r="G188" s="8">
        <f>IF(weight_groups!G35="","",weight_groups!G35)</f>
        <v/>
      </c>
      <c r="H188" s="9">
        <f>IF(weight_groups!H35="","",weight_groups!H35)</f>
        <v/>
      </c>
    </row>
    <row r="189">
      <c r="A189">
        <f>IF(weight_groups!A36="","",weight_groups!A36)</f>
        <v/>
      </c>
      <c r="B189">
        <f>IF(weight_groups!B36="","",weight_groups!B36)</f>
        <v/>
      </c>
      <c r="C189">
        <f>IF(weight_groups!C36="","",weight_groups!C36)</f>
        <v/>
      </c>
      <c r="D189">
        <f>IF(weight_groups!D36="","",weight_groups!D36)</f>
        <v/>
      </c>
      <c r="E189" s="7">
        <f>IF(weight_groups!E36="","",weight_groups!E36)</f>
        <v/>
      </c>
      <c r="F189" s="8">
        <f>IF(weight_groups!F36="","",weight_groups!F36)</f>
        <v/>
      </c>
      <c r="G189" s="8">
        <f>IF(weight_groups!G36="","",weight_groups!G36)</f>
        <v/>
      </c>
      <c r="H189" s="9">
        <f>IF(weight_groups!H36="","",weight_groups!H36)</f>
        <v/>
      </c>
    </row>
    <row r="190">
      <c r="A190">
        <f>IF(weight_groups!A37="","",weight_groups!A37)</f>
        <v/>
      </c>
      <c r="B190">
        <f>IF(weight_groups!B37="","",weight_groups!B37)</f>
        <v/>
      </c>
      <c r="C190">
        <f>IF(weight_groups!C37="","",weight_groups!C37)</f>
        <v/>
      </c>
      <c r="D190">
        <f>IF(weight_groups!D37="","",weight_groups!D37)</f>
        <v/>
      </c>
      <c r="E190" s="7">
        <f>IF(weight_groups!E37="","",weight_groups!E37)</f>
        <v/>
      </c>
      <c r="F190" s="8">
        <f>IF(weight_groups!F37="","",weight_groups!F37)</f>
        <v/>
      </c>
      <c r="G190" s="8">
        <f>IF(weight_groups!G37="","",weight_groups!G37)</f>
        <v/>
      </c>
      <c r="H190" s="9">
        <f>IF(weight_groups!H37="","",weight_groups!H37)</f>
        <v/>
      </c>
    </row>
    <row r="191">
      <c r="A191">
        <f>IF(weight_groups!A38="","",weight_groups!A38)</f>
        <v/>
      </c>
      <c r="B191">
        <f>IF(weight_groups!B38="","",weight_groups!B38)</f>
        <v/>
      </c>
      <c r="C191">
        <f>IF(weight_groups!C38="","",weight_groups!C38)</f>
        <v/>
      </c>
      <c r="D191">
        <f>IF(weight_groups!D38="","",weight_groups!D38)</f>
        <v/>
      </c>
      <c r="E191" s="7">
        <f>IF(weight_groups!E38="","",weight_groups!E38)</f>
        <v/>
      </c>
      <c r="F191" s="8">
        <f>IF(weight_groups!F38="","",weight_groups!F38)</f>
        <v/>
      </c>
      <c r="G191" s="8">
        <f>IF(weight_groups!G38="","",weight_groups!G38)</f>
        <v/>
      </c>
      <c r="H191" s="9">
        <f>IF(weight_groups!H38="","",weight_groups!H38)</f>
        <v/>
      </c>
    </row>
    <row r="192">
      <c r="A192">
        <f>IF(weight_groups!A39="","",weight_groups!A39)</f>
        <v/>
      </c>
      <c r="B192">
        <f>IF(weight_groups!B39="","",weight_groups!B39)</f>
        <v/>
      </c>
      <c r="C192">
        <f>IF(weight_groups!C39="","",weight_groups!C39)</f>
        <v/>
      </c>
      <c r="D192">
        <f>IF(weight_groups!D39="","",weight_groups!D39)</f>
        <v/>
      </c>
      <c r="E192" s="7">
        <f>IF(weight_groups!E39="","",weight_groups!E39)</f>
        <v/>
      </c>
      <c r="F192" s="8">
        <f>IF(weight_groups!F39="","",weight_groups!F39)</f>
        <v/>
      </c>
      <c r="G192" s="8">
        <f>IF(weight_groups!G39="","",weight_groups!G39)</f>
        <v/>
      </c>
      <c r="H192" s="9">
        <f>IF(weight_groups!H39="","",weight_groups!H39)</f>
        <v/>
      </c>
    </row>
    <row r="193">
      <c r="A193">
        <f>IF(weight_groups!A40="","",weight_groups!A40)</f>
        <v/>
      </c>
      <c r="B193">
        <f>IF(weight_groups!B40="","",weight_groups!B40)</f>
        <v/>
      </c>
      <c r="C193">
        <f>IF(weight_groups!C40="","",weight_groups!C40)</f>
        <v/>
      </c>
      <c r="D193">
        <f>IF(weight_groups!D40="","",weight_groups!D40)</f>
        <v/>
      </c>
      <c r="E193" s="7">
        <f>IF(weight_groups!E40="","",weight_groups!E40)</f>
        <v/>
      </c>
      <c r="F193" s="8">
        <f>IF(weight_groups!F40="","",weight_groups!F40)</f>
        <v/>
      </c>
      <c r="G193" s="8">
        <f>IF(weight_groups!G40="","",weight_groups!G40)</f>
        <v/>
      </c>
      <c r="H193" s="9">
        <f>IF(weight_groups!H40="","",weight_groups!H40)</f>
        <v/>
      </c>
    </row>
    <row r="194">
      <c r="A194">
        <f>IF(weight_groups!A41="","",weight_groups!A41)</f>
        <v/>
      </c>
      <c r="B194">
        <f>IF(weight_groups!B41="","",weight_groups!B41)</f>
        <v/>
      </c>
      <c r="C194">
        <f>IF(weight_groups!C41="","",weight_groups!C41)</f>
        <v/>
      </c>
      <c r="D194">
        <f>IF(weight_groups!D41="","",weight_groups!D41)</f>
        <v/>
      </c>
      <c r="E194" s="7">
        <f>IF(weight_groups!E41="","",weight_groups!E41)</f>
        <v/>
      </c>
      <c r="F194" s="8">
        <f>IF(weight_groups!F41="","",weight_groups!F41)</f>
        <v/>
      </c>
      <c r="G194" s="8">
        <f>IF(weight_groups!G41="","",weight_groups!G41)</f>
        <v/>
      </c>
      <c r="H194" s="9">
        <f>IF(weight_groups!H41="","",weight_groups!H41)</f>
        <v/>
      </c>
    </row>
    <row r="196">
      <c r="A196" s="3" t="inlineStr">
        <is>
          <t>Flagged units (flags.csv)</t>
        </is>
      </c>
    </row>
    <row r="197">
      <c r="A197" t="inlineStr">
        <is>
          <t>Flagged rows in the export:</t>
        </is>
      </c>
      <c r="B197">
        <f>COUNTA(flags!$B$2:$B$5000)</f>
        <v/>
      </c>
    </row>
    <row r="198">
      <c r="A198" s="6" t="inlineStr">
        <is>
          <t>table</t>
        </is>
      </c>
      <c r="B198" s="6" t="inlineStr">
        <is>
          <t>unit_id</t>
        </is>
      </c>
      <c r="C198" s="6" t="inlineStr">
        <is>
          <t>stage</t>
        </is>
      </c>
      <c r="D198" s="6" t="inlineStr">
        <is>
          <t>value</t>
        </is>
      </c>
      <c r="E198" s="6" t="inlineStr">
        <is>
          <t>reason</t>
        </is>
      </c>
    </row>
    <row r="199">
      <c r="A199">
        <f>IF(flags!A2="","",flags!A2)</f>
        <v/>
      </c>
      <c r="B199">
        <f>IF(flags!B2="","",flags!B2)</f>
        <v/>
      </c>
      <c r="C199">
        <f>IF(flags!C2="","",flags!C2)</f>
        <v/>
      </c>
      <c r="D199" s="8">
        <f>IF(flags!D2="","",flags!D2)</f>
        <v/>
      </c>
      <c r="E199">
        <f>IF(flags!E2="","",flags!E2)</f>
        <v/>
      </c>
    </row>
    <row r="200">
      <c r="A200">
        <f>IF(flags!A3="","",flags!A3)</f>
        <v/>
      </c>
      <c r="B200">
        <f>IF(flags!B3="","",flags!B3)</f>
        <v/>
      </c>
      <c r="C200">
        <f>IF(flags!C3="","",flags!C3)</f>
        <v/>
      </c>
      <c r="D200" s="8">
        <f>IF(flags!D3="","",flags!D3)</f>
        <v/>
      </c>
      <c r="E200">
        <f>IF(flags!E3="","",flags!E3)</f>
        <v/>
      </c>
    </row>
    <row r="201">
      <c r="A201">
        <f>IF(flags!A4="","",flags!A4)</f>
        <v/>
      </c>
      <c r="B201">
        <f>IF(flags!B4="","",flags!B4)</f>
        <v/>
      </c>
      <c r="C201">
        <f>IF(flags!C4="","",flags!C4)</f>
        <v/>
      </c>
      <c r="D201" s="8">
        <f>IF(flags!D4="","",flags!D4)</f>
        <v/>
      </c>
      <c r="E201">
        <f>IF(flags!E4="","",flags!E4)</f>
        <v/>
      </c>
    </row>
    <row r="202">
      <c r="A202">
        <f>IF(flags!A5="","",flags!A5)</f>
        <v/>
      </c>
      <c r="B202">
        <f>IF(flags!B5="","",flags!B5)</f>
        <v/>
      </c>
      <c r="C202">
        <f>IF(flags!C5="","",flags!C5)</f>
        <v/>
      </c>
      <c r="D202" s="8">
        <f>IF(flags!D5="","",flags!D5)</f>
        <v/>
      </c>
      <c r="E202">
        <f>IF(flags!E5="","",flags!E5)</f>
        <v/>
      </c>
    </row>
    <row r="203">
      <c r="A203">
        <f>IF(flags!A6="","",flags!A6)</f>
        <v/>
      </c>
      <c r="B203">
        <f>IF(flags!B6="","",flags!B6)</f>
        <v/>
      </c>
      <c r="C203">
        <f>IF(flags!C6="","",flags!C6)</f>
        <v/>
      </c>
      <c r="D203" s="8">
        <f>IF(flags!D6="","",flags!D6)</f>
        <v/>
      </c>
      <c r="E203">
        <f>IF(flags!E6="","",flags!E6)</f>
        <v/>
      </c>
    </row>
    <row r="204">
      <c r="A204">
        <f>IF(flags!A7="","",flags!A7)</f>
        <v/>
      </c>
      <c r="B204">
        <f>IF(flags!B7="","",flags!B7)</f>
        <v/>
      </c>
      <c r="C204">
        <f>IF(flags!C7="","",flags!C7)</f>
        <v/>
      </c>
      <c r="D204" s="8">
        <f>IF(flags!D7="","",flags!D7)</f>
        <v/>
      </c>
      <c r="E204">
        <f>IF(flags!E7="","",flags!E7)</f>
        <v/>
      </c>
    </row>
    <row r="205">
      <c r="A205">
        <f>IF(flags!A8="","",flags!A8)</f>
        <v/>
      </c>
      <c r="B205">
        <f>IF(flags!B8="","",flags!B8)</f>
        <v/>
      </c>
      <c r="C205">
        <f>IF(flags!C8="","",flags!C8)</f>
        <v/>
      </c>
      <c r="D205" s="8">
        <f>IF(flags!D8="","",flags!D8)</f>
        <v/>
      </c>
      <c r="E205">
        <f>IF(flags!E8="","",flags!E8)</f>
        <v/>
      </c>
    </row>
    <row r="206">
      <c r="A206">
        <f>IF(flags!A9="","",flags!A9)</f>
        <v/>
      </c>
      <c r="B206">
        <f>IF(flags!B9="","",flags!B9)</f>
        <v/>
      </c>
      <c r="C206">
        <f>IF(flags!C9="","",flags!C9)</f>
        <v/>
      </c>
      <c r="D206" s="8">
        <f>IF(flags!D9="","",flags!D9)</f>
        <v/>
      </c>
      <c r="E206">
        <f>IF(flags!E9="","",flags!E9)</f>
        <v/>
      </c>
    </row>
    <row r="207">
      <c r="A207">
        <f>IF(flags!A10="","",flags!A10)</f>
        <v/>
      </c>
      <c r="B207">
        <f>IF(flags!B10="","",flags!B10)</f>
        <v/>
      </c>
      <c r="C207">
        <f>IF(flags!C10="","",flags!C10)</f>
        <v/>
      </c>
      <c r="D207" s="8">
        <f>IF(flags!D10="","",flags!D10)</f>
        <v/>
      </c>
      <c r="E207">
        <f>IF(flags!E10="","",flags!E10)</f>
        <v/>
      </c>
    </row>
    <row r="208">
      <c r="A208">
        <f>IF(flags!A11="","",flags!A11)</f>
        <v/>
      </c>
      <c r="B208">
        <f>IF(flags!B11="","",flags!B11)</f>
        <v/>
      </c>
      <c r="C208">
        <f>IF(flags!C11="","",flags!C11)</f>
        <v/>
      </c>
      <c r="D208" s="8">
        <f>IF(flags!D11="","",flags!D11)</f>
        <v/>
      </c>
      <c r="E208">
        <f>IF(flags!E11="","",flags!E11)</f>
        <v/>
      </c>
    </row>
    <row r="209">
      <c r="A209">
        <f>IF(flags!A12="","",flags!A12)</f>
        <v/>
      </c>
      <c r="B209">
        <f>IF(flags!B12="","",flags!B12)</f>
        <v/>
      </c>
      <c r="C209">
        <f>IF(flags!C12="","",flags!C12)</f>
        <v/>
      </c>
      <c r="D209" s="8">
        <f>IF(flags!D12="","",flags!D12)</f>
        <v/>
      </c>
      <c r="E209">
        <f>IF(flags!E12="","",flags!E12)</f>
        <v/>
      </c>
    </row>
    <row r="210">
      <c r="A210">
        <f>IF(flags!A13="","",flags!A13)</f>
        <v/>
      </c>
      <c r="B210">
        <f>IF(flags!B13="","",flags!B13)</f>
        <v/>
      </c>
      <c r="C210">
        <f>IF(flags!C13="","",flags!C13)</f>
        <v/>
      </c>
      <c r="D210" s="8">
        <f>IF(flags!D13="","",flags!D13)</f>
        <v/>
      </c>
      <c r="E210">
        <f>IF(flags!E13="","",flags!E13)</f>
        <v/>
      </c>
    </row>
    <row r="211">
      <c r="A211">
        <f>IF(flags!A14="","",flags!A14)</f>
        <v/>
      </c>
      <c r="B211">
        <f>IF(flags!B14="","",flags!B14)</f>
        <v/>
      </c>
      <c r="C211">
        <f>IF(flags!C14="","",flags!C14)</f>
        <v/>
      </c>
      <c r="D211" s="8">
        <f>IF(flags!D14="","",flags!D14)</f>
        <v/>
      </c>
      <c r="E211">
        <f>IF(flags!E14="","",flags!E14)</f>
        <v/>
      </c>
    </row>
    <row r="212">
      <c r="A212">
        <f>IF(flags!A15="","",flags!A15)</f>
        <v/>
      </c>
      <c r="B212">
        <f>IF(flags!B15="","",flags!B15)</f>
        <v/>
      </c>
      <c r="C212">
        <f>IF(flags!C15="","",flags!C15)</f>
        <v/>
      </c>
      <c r="D212" s="8">
        <f>IF(flags!D15="","",flags!D15)</f>
        <v/>
      </c>
      <c r="E212">
        <f>IF(flags!E15="","",flags!E15)</f>
        <v/>
      </c>
    </row>
    <row r="213">
      <c r="A213">
        <f>IF(flags!A16="","",flags!A16)</f>
        <v/>
      </c>
      <c r="B213">
        <f>IF(flags!B16="","",flags!B16)</f>
        <v/>
      </c>
      <c r="C213">
        <f>IF(flags!C16="","",flags!C16)</f>
        <v/>
      </c>
      <c r="D213" s="8">
        <f>IF(flags!D16="","",flags!D16)</f>
        <v/>
      </c>
      <c r="E213">
        <f>IF(flags!E16="","",flags!E16)</f>
        <v/>
      </c>
    </row>
    <row r="214">
      <c r="A214">
        <f>IF(flags!A17="","",flags!A17)</f>
        <v/>
      </c>
      <c r="B214">
        <f>IF(flags!B17="","",flags!B17)</f>
        <v/>
      </c>
      <c r="C214">
        <f>IF(flags!C17="","",flags!C17)</f>
        <v/>
      </c>
      <c r="D214" s="8">
        <f>IF(flags!D17="","",flags!D17)</f>
        <v/>
      </c>
      <c r="E214">
        <f>IF(flags!E17="","",flags!E17)</f>
        <v/>
      </c>
    </row>
    <row r="215">
      <c r="A215">
        <f>IF(flags!A18="","",flags!A18)</f>
        <v/>
      </c>
      <c r="B215">
        <f>IF(flags!B18="","",flags!B18)</f>
        <v/>
      </c>
      <c r="C215">
        <f>IF(flags!C18="","",flags!C18)</f>
        <v/>
      </c>
      <c r="D215" s="8">
        <f>IF(flags!D18="","",flags!D18)</f>
        <v/>
      </c>
      <c r="E215">
        <f>IF(flags!E18="","",flags!E18)</f>
        <v/>
      </c>
    </row>
    <row r="216">
      <c r="A216">
        <f>IF(flags!A19="","",flags!A19)</f>
        <v/>
      </c>
      <c r="B216">
        <f>IF(flags!B19="","",flags!B19)</f>
        <v/>
      </c>
      <c r="C216">
        <f>IF(flags!C19="","",flags!C19)</f>
        <v/>
      </c>
      <c r="D216" s="8">
        <f>IF(flags!D19="","",flags!D19)</f>
        <v/>
      </c>
      <c r="E216">
        <f>IF(flags!E19="","",flags!E19)</f>
        <v/>
      </c>
    </row>
    <row r="217">
      <c r="A217">
        <f>IF(flags!A20="","",flags!A20)</f>
        <v/>
      </c>
      <c r="B217">
        <f>IF(flags!B20="","",flags!B20)</f>
        <v/>
      </c>
      <c r="C217">
        <f>IF(flags!C20="","",flags!C20)</f>
        <v/>
      </c>
      <c r="D217" s="8">
        <f>IF(flags!D20="","",flags!D20)</f>
        <v/>
      </c>
      <c r="E217">
        <f>IF(flags!E20="","",flags!E20)</f>
        <v/>
      </c>
    </row>
    <row r="218">
      <c r="A218">
        <f>IF(flags!A21="","",flags!A21)</f>
        <v/>
      </c>
      <c r="B218">
        <f>IF(flags!B21="","",flags!B21)</f>
        <v/>
      </c>
      <c r="C218">
        <f>IF(flags!C21="","",flags!C21)</f>
        <v/>
      </c>
      <c r="D218" s="8">
        <f>IF(flags!D21="","",flags!D21)</f>
        <v/>
      </c>
      <c r="E218">
        <f>IF(flags!E21="","",flags!E21)</f>
        <v/>
      </c>
    </row>
    <row r="219">
      <c r="A219">
        <f>IF(flags!A22="","",flags!A22)</f>
        <v/>
      </c>
      <c r="B219">
        <f>IF(flags!B22="","",flags!B22)</f>
        <v/>
      </c>
      <c r="C219">
        <f>IF(flags!C22="","",flags!C22)</f>
        <v/>
      </c>
      <c r="D219" s="8">
        <f>IF(flags!D22="","",flags!D22)</f>
        <v/>
      </c>
      <c r="E219">
        <f>IF(flags!E22="","",flags!E22)</f>
        <v/>
      </c>
    </row>
    <row r="220">
      <c r="A220">
        <f>IF(flags!A23="","",flags!A23)</f>
        <v/>
      </c>
      <c r="B220">
        <f>IF(flags!B23="","",flags!B23)</f>
        <v/>
      </c>
      <c r="C220">
        <f>IF(flags!C23="","",flags!C23)</f>
        <v/>
      </c>
      <c r="D220" s="8">
        <f>IF(flags!D23="","",flags!D23)</f>
        <v/>
      </c>
      <c r="E220">
        <f>IF(flags!E23="","",flags!E23)</f>
        <v/>
      </c>
    </row>
    <row r="221">
      <c r="A221">
        <f>IF(flags!A24="","",flags!A24)</f>
        <v/>
      </c>
      <c r="B221">
        <f>IF(flags!B24="","",flags!B24)</f>
        <v/>
      </c>
      <c r="C221">
        <f>IF(flags!C24="","",flags!C24)</f>
        <v/>
      </c>
      <c r="D221" s="8">
        <f>IF(flags!D24="","",flags!D24)</f>
        <v/>
      </c>
      <c r="E221">
        <f>IF(flags!E24="","",flags!E24)</f>
        <v/>
      </c>
    </row>
    <row r="222">
      <c r="A222">
        <f>IF(flags!A25="","",flags!A25)</f>
        <v/>
      </c>
      <c r="B222">
        <f>IF(flags!B25="","",flags!B25)</f>
        <v/>
      </c>
      <c r="C222">
        <f>IF(flags!C25="","",flags!C25)</f>
        <v/>
      </c>
      <c r="D222" s="8">
        <f>IF(flags!D25="","",flags!D25)</f>
        <v/>
      </c>
      <c r="E222">
        <f>IF(flags!E25="","",flags!E25)</f>
        <v/>
      </c>
    </row>
    <row r="223">
      <c r="A223">
        <f>IF(flags!A26="","",flags!A26)</f>
        <v/>
      </c>
      <c r="B223">
        <f>IF(flags!B26="","",flags!B26)</f>
        <v/>
      </c>
      <c r="C223">
        <f>IF(flags!C26="","",flags!C26)</f>
        <v/>
      </c>
      <c r="D223" s="8">
        <f>IF(flags!D26="","",flags!D26)</f>
        <v/>
      </c>
      <c r="E223">
        <f>IF(flags!E26="","",flags!E26)</f>
        <v/>
      </c>
    </row>
    <row r="224">
      <c r="A224">
        <f>IF(flags!A27="","",flags!A27)</f>
        <v/>
      </c>
      <c r="B224">
        <f>IF(flags!B27="","",flags!B27)</f>
        <v/>
      </c>
      <c r="C224">
        <f>IF(flags!C27="","",flags!C27)</f>
        <v/>
      </c>
      <c r="D224" s="8">
        <f>IF(flags!D27="","",flags!D27)</f>
        <v/>
      </c>
      <c r="E224">
        <f>IF(flags!E27="","",flags!E27)</f>
        <v/>
      </c>
    </row>
    <row r="225">
      <c r="A225">
        <f>IF(flags!A28="","",flags!A28)</f>
        <v/>
      </c>
      <c r="B225">
        <f>IF(flags!B28="","",flags!B28)</f>
        <v/>
      </c>
      <c r="C225">
        <f>IF(flags!C28="","",flags!C28)</f>
        <v/>
      </c>
      <c r="D225" s="8">
        <f>IF(flags!D28="","",flags!D28)</f>
        <v/>
      </c>
      <c r="E225">
        <f>IF(flags!E28="","",flags!E28)</f>
        <v/>
      </c>
    </row>
    <row r="226">
      <c r="A226">
        <f>IF(flags!A29="","",flags!A29)</f>
        <v/>
      </c>
      <c r="B226">
        <f>IF(flags!B29="","",flags!B29)</f>
        <v/>
      </c>
      <c r="C226">
        <f>IF(flags!C29="","",flags!C29)</f>
        <v/>
      </c>
      <c r="D226" s="8">
        <f>IF(flags!D29="","",flags!D29)</f>
        <v/>
      </c>
      <c r="E226">
        <f>IF(flags!E29="","",flags!E29)</f>
        <v/>
      </c>
    </row>
    <row r="227">
      <c r="A227">
        <f>IF(flags!A30="","",flags!A30)</f>
        <v/>
      </c>
      <c r="B227">
        <f>IF(flags!B30="","",flags!B30)</f>
        <v/>
      </c>
      <c r="C227">
        <f>IF(flags!C30="","",flags!C30)</f>
        <v/>
      </c>
      <c r="D227" s="8">
        <f>IF(flags!D30="","",flags!D30)</f>
        <v/>
      </c>
      <c r="E227">
        <f>IF(flags!E30="","",flags!E30)</f>
        <v/>
      </c>
    </row>
    <row r="228">
      <c r="A228">
        <f>IF(flags!A31="","",flags!A31)</f>
        <v/>
      </c>
      <c r="B228">
        <f>IF(flags!B31="","",flags!B31)</f>
        <v/>
      </c>
      <c r="C228">
        <f>IF(flags!C31="","",flags!C31)</f>
        <v/>
      </c>
      <c r="D228" s="8">
        <f>IF(flags!D31="","",flags!D31)</f>
        <v/>
      </c>
      <c r="E228">
        <f>IF(flags!E31="","",flags!E31)</f>
        <v/>
      </c>
    </row>
    <row r="229">
      <c r="A229">
        <f>IF(flags!A32="","",flags!A32)</f>
        <v/>
      </c>
      <c r="B229">
        <f>IF(flags!B32="","",flags!B32)</f>
        <v/>
      </c>
      <c r="C229">
        <f>IF(flags!C32="","",flags!C32)</f>
        <v/>
      </c>
      <c r="D229" s="8">
        <f>IF(flags!D32="","",flags!D32)</f>
        <v/>
      </c>
      <c r="E229">
        <f>IF(flags!E32="","",flags!E32)</f>
        <v/>
      </c>
    </row>
    <row r="230">
      <c r="A230">
        <f>IF(flags!A33="","",flags!A33)</f>
        <v/>
      </c>
      <c r="B230">
        <f>IF(flags!B33="","",flags!B33)</f>
        <v/>
      </c>
      <c r="C230">
        <f>IF(flags!C33="","",flags!C33)</f>
        <v/>
      </c>
      <c r="D230" s="8">
        <f>IF(flags!D33="","",flags!D33)</f>
        <v/>
      </c>
      <c r="E230">
        <f>IF(flags!E33="","",flags!E33)</f>
        <v/>
      </c>
    </row>
    <row r="231">
      <c r="A231">
        <f>IF(flags!A34="","",flags!A34)</f>
        <v/>
      </c>
      <c r="B231">
        <f>IF(flags!B34="","",flags!B34)</f>
        <v/>
      </c>
      <c r="C231">
        <f>IF(flags!C34="","",flags!C34)</f>
        <v/>
      </c>
      <c r="D231" s="8">
        <f>IF(flags!D34="","",flags!D34)</f>
        <v/>
      </c>
      <c r="E231">
        <f>IF(flags!E34="","",flags!E34)</f>
        <v/>
      </c>
    </row>
    <row r="232">
      <c r="A232">
        <f>IF(flags!A35="","",flags!A35)</f>
        <v/>
      </c>
      <c r="B232">
        <f>IF(flags!B35="","",flags!B35)</f>
        <v/>
      </c>
      <c r="C232">
        <f>IF(flags!C35="","",flags!C35)</f>
        <v/>
      </c>
      <c r="D232" s="8">
        <f>IF(flags!D35="","",flags!D35)</f>
        <v/>
      </c>
      <c r="E232">
        <f>IF(flags!E35="","",flags!E35)</f>
        <v/>
      </c>
    </row>
    <row r="233">
      <c r="A233">
        <f>IF(flags!A36="","",flags!A36)</f>
        <v/>
      </c>
      <c r="B233">
        <f>IF(flags!B36="","",flags!B36)</f>
        <v/>
      </c>
      <c r="C233">
        <f>IF(flags!C36="","",flags!C36)</f>
        <v/>
      </c>
      <c r="D233" s="8">
        <f>IF(flags!D36="","",flags!D36)</f>
        <v/>
      </c>
      <c r="E233">
        <f>IF(flags!E36="","",flags!E36)</f>
        <v/>
      </c>
    </row>
    <row r="234">
      <c r="A234">
        <f>IF(flags!A37="","",flags!A37)</f>
        <v/>
      </c>
      <c r="B234">
        <f>IF(flags!B37="","",flags!B37)</f>
        <v/>
      </c>
      <c r="C234">
        <f>IF(flags!C37="","",flags!C37)</f>
        <v/>
      </c>
      <c r="D234" s="8">
        <f>IF(flags!D37="","",flags!D37)</f>
        <v/>
      </c>
      <c r="E234">
        <f>IF(flags!E37="","",flags!E37)</f>
        <v/>
      </c>
    </row>
    <row r="235">
      <c r="A235">
        <f>IF(flags!A38="","",flags!A38)</f>
        <v/>
      </c>
      <c r="B235">
        <f>IF(flags!B38="","",flags!B38)</f>
        <v/>
      </c>
      <c r="C235">
        <f>IF(flags!C38="","",flags!C38)</f>
        <v/>
      </c>
      <c r="D235" s="8">
        <f>IF(flags!D38="","",flags!D38)</f>
        <v/>
      </c>
      <c r="E235">
        <f>IF(flags!E38="","",flags!E38)</f>
        <v/>
      </c>
    </row>
    <row r="236">
      <c r="A236">
        <f>IF(flags!A39="","",flags!A39)</f>
        <v/>
      </c>
      <c r="B236">
        <f>IF(flags!B39="","",flags!B39)</f>
        <v/>
      </c>
      <c r="C236">
        <f>IF(flags!C39="","",flags!C39)</f>
        <v/>
      </c>
      <c r="D236" s="8">
        <f>IF(flags!D39="","",flags!D39)</f>
        <v/>
      </c>
      <c r="E236">
        <f>IF(flags!E39="","",flags!E39)</f>
        <v/>
      </c>
    </row>
    <row r="237">
      <c r="A237">
        <f>IF(flags!A40="","",flags!A40)</f>
        <v/>
      </c>
      <c r="B237">
        <f>IF(flags!B40="","",flags!B40)</f>
        <v/>
      </c>
      <c r="C237">
        <f>IF(flags!C40="","",flags!C40)</f>
        <v/>
      </c>
      <c r="D237" s="8">
        <f>IF(flags!D40="","",flags!D40)</f>
        <v/>
      </c>
      <c r="E237">
        <f>IF(flags!E40="","",flags!E40)</f>
        <v/>
      </c>
    </row>
    <row r="238">
      <c r="A238">
        <f>IF(flags!A41="","",flags!A41)</f>
        <v/>
      </c>
      <c r="B238">
        <f>IF(flags!B41="","",flags!B41)</f>
        <v/>
      </c>
      <c r="C238">
        <f>IF(flags!C41="","",flags!C41)</f>
        <v/>
      </c>
      <c r="D238" s="8">
        <f>IF(flags!D41="","",flags!D41)</f>
        <v/>
      </c>
      <c r="E238">
        <f>IF(flags!E41="","",flags!E41)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Sampling: what Stata exported for this run</t>
        </is>
      </c>
    </row>
    <row r="2">
      <c r="A2" s="2" t="inlineStr">
        <is>
          <t>Sizes, allocation and the draw as computed in Stata; nothing is recalculated here (see Notes).</t>
        </is>
      </c>
    </row>
    <row r="4">
      <c r="A4" s="3" t="inlineStr">
        <is>
          <t>Run</t>
        </is>
      </c>
      <c r="U4" s="3" t="inlineStr">
        <is>
          <t>selected: x</t>
        </is>
      </c>
      <c r="V4" s="3" t="inlineStr">
        <is>
          <t>selected: y</t>
        </is>
      </c>
      <c r="W4" s="3" t="inlineStr">
        <is>
          <t>not selected: x</t>
        </is>
      </c>
      <c r="X4" s="3" t="inlineStr">
        <is>
          <t>not selected: y</t>
        </is>
      </c>
    </row>
    <row r="5">
      <c r="A5" t="inlineStr">
        <is>
          <t>Run id</t>
        </is>
      </c>
      <c r="B5" s="4">
        <f>IFERROR(INDEX(manifest!$B:$B,MATCH("run_id",manifest!$A:$A,0)),"not in this export")</f>
        <v/>
      </c>
      <c r="U5">
        <f>IF(selection!H2=1,selection!M2,NA())</f>
        <v/>
      </c>
      <c r="V5">
        <f>IF(selection!H2=1,selection!N2,NA())</f>
        <v/>
      </c>
      <c r="W5">
        <f>IF(selection!H2=0,selection!M2,NA())</f>
        <v/>
      </c>
      <c r="X5">
        <f>IF(selection!H2=0,selection!N2,NA())</f>
        <v/>
      </c>
    </row>
    <row r="6">
      <c r="A6" t="inlineStr">
        <is>
          <t>Step</t>
        </is>
      </c>
      <c r="B6" s="4">
        <f>IFERROR(INDEX(manifest!$B:$B,MATCH("step",manifest!$A:$A,0)),"not in this export")</f>
        <v/>
      </c>
      <c r="U6">
        <f>IF(selection!H3=1,selection!M3,NA())</f>
        <v/>
      </c>
      <c r="V6">
        <f>IF(selection!H3=1,selection!N3,NA())</f>
        <v/>
      </c>
      <c r="W6">
        <f>IF(selection!H3=0,selection!M3,NA())</f>
        <v/>
      </c>
      <c r="X6">
        <f>IF(selection!H3=0,selection!N3,NA())</f>
        <v/>
      </c>
    </row>
    <row r="7">
      <c r="A7" t="inlineStr">
        <is>
          <t>Started</t>
        </is>
      </c>
      <c r="B7" s="4">
        <f>IFERROR(INDEX(manifest!$B:$B,MATCH("started",manifest!$A:$A,0)),"not in this export")</f>
        <v/>
      </c>
      <c r="U7">
        <f>IF(selection!H4=1,selection!M4,NA())</f>
        <v/>
      </c>
      <c r="V7">
        <f>IF(selection!H4=1,selection!N4,NA())</f>
        <v/>
      </c>
      <c r="W7">
        <f>IF(selection!H4=0,selection!M4,NA())</f>
        <v/>
      </c>
      <c r="X7">
        <f>IF(selection!H4=0,selection!N4,NA())</f>
        <v/>
      </c>
    </row>
    <row r="8">
      <c r="A8" t="inlineStr">
        <is>
          <t>Status</t>
        </is>
      </c>
      <c r="B8" s="4">
        <f>IFERROR(INDEX(manifest!$B:$B,MATCH("status",manifest!$A:$A,0)),"not in this export")</f>
        <v/>
      </c>
      <c r="U8">
        <f>IF(selection!H5=1,selection!M5,NA())</f>
        <v/>
      </c>
      <c r="V8">
        <f>IF(selection!H5=1,selection!N5,NA())</f>
        <v/>
      </c>
      <c r="W8">
        <f>IF(selection!H5=0,selection!M5,NA())</f>
        <v/>
      </c>
      <c r="X8">
        <f>IF(selection!H5=0,selection!N5,NA())</f>
        <v/>
      </c>
    </row>
    <row r="9">
      <c r="A9" t="inlineStr">
        <is>
          <t>Source (ado or do-file)</t>
        </is>
      </c>
      <c r="B9" s="4">
        <f>IFERROR(INDEX(manifest!$B:$B,MATCH("source",manifest!$A:$A,0)),"not in this export")</f>
        <v/>
      </c>
      <c r="U9">
        <f>IF(selection!H6=1,selection!M6,NA())</f>
        <v/>
      </c>
      <c r="V9">
        <f>IF(selection!H6=1,selection!N6,NA())</f>
        <v/>
      </c>
      <c r="W9">
        <f>IF(selection!H6=0,selection!M6,NA())</f>
        <v/>
      </c>
      <c r="X9">
        <f>IF(selection!H6=0,selection!N6,NA())</f>
        <v/>
      </c>
    </row>
    <row r="10">
      <c r="A10" t="inlineStr">
        <is>
          <t>Input file</t>
        </is>
      </c>
      <c r="B10" s="4">
        <f>IFERROR(INDEX(manifest!$B:$B,MATCH("input_file",manifest!$A:$A,0)),"not in this export")</f>
        <v/>
      </c>
      <c r="U10">
        <f>IF(selection!H7=1,selection!M7,NA())</f>
        <v/>
      </c>
      <c r="V10">
        <f>IF(selection!H7=1,selection!N7,NA())</f>
        <v/>
      </c>
      <c r="W10">
        <f>IF(selection!H7=0,selection!M7,NA())</f>
        <v/>
      </c>
      <c r="X10">
        <f>IF(selection!H7=0,selection!N7,NA())</f>
        <v/>
      </c>
    </row>
    <row r="11">
      <c r="A11" t="inlineStr">
        <is>
          <t>Input rows</t>
        </is>
      </c>
      <c r="B11" s="4">
        <f>IFERROR(INDEX(manifest!$B:$B,MATCH("input_rows",manifest!$A:$A,0)),"not in this export")</f>
        <v/>
      </c>
      <c r="U11">
        <f>IF(selection!H8=1,selection!M8,NA())</f>
        <v/>
      </c>
      <c r="V11">
        <f>IF(selection!H8=1,selection!N8,NA())</f>
        <v/>
      </c>
      <c r="W11">
        <f>IF(selection!H8=0,selection!M8,NA())</f>
        <v/>
      </c>
      <c r="X11">
        <f>IF(selection!H8=0,selection!N8,NA())</f>
        <v/>
      </c>
    </row>
    <row r="12">
      <c r="A12" t="inlineStr">
        <is>
          <t>Command</t>
        </is>
      </c>
      <c r="B12" s="4">
        <f>IFERROR(INDEX(manifest!$B:$B,MATCH("command",manifest!$A:$A,0)),"not in this export")</f>
        <v/>
      </c>
      <c r="U12">
        <f>IF(selection!H9=1,selection!M9,NA())</f>
        <v/>
      </c>
      <c r="V12">
        <f>IF(selection!H9=1,selection!N9,NA())</f>
        <v/>
      </c>
      <c r="W12">
        <f>IF(selection!H9=0,selection!M9,NA())</f>
        <v/>
      </c>
      <c r="X12">
        <f>IF(selection!H9=0,selection!N9,NA())</f>
        <v/>
      </c>
    </row>
    <row r="13">
      <c r="U13">
        <f>IF(selection!H10=1,selection!M10,NA())</f>
        <v/>
      </c>
      <c r="V13">
        <f>IF(selection!H10=1,selection!N10,NA())</f>
        <v/>
      </c>
      <c r="W13">
        <f>IF(selection!H10=0,selection!M10,NA())</f>
        <v/>
      </c>
      <c r="X13">
        <f>IF(selection!H10=0,selection!N10,NA())</f>
        <v/>
      </c>
    </row>
    <row r="14">
      <c r="A14" s="3" t="inlineStr">
        <is>
          <t>Key numbers (r() results of the command)</t>
        </is>
      </c>
      <c r="U14">
        <f>IF(selection!H11=1,selection!M11,NA())</f>
        <v/>
      </c>
      <c r="V14">
        <f>IF(selection!H11=1,selection!N11,NA())</f>
        <v/>
      </c>
      <c r="W14">
        <f>IF(selection!H11=0,selection!M11,NA())</f>
        <v/>
      </c>
      <c r="X14">
        <f>IF(selection!H11=0,selection!N11,NA())</f>
        <v/>
      </c>
    </row>
    <row r="15">
      <c r="A15" t="inlineStr">
        <is>
          <t>Households per domain (size)</t>
        </is>
      </c>
      <c r="B15" s="5">
        <f>IFERROR(INDEX(manifest!$B:$B,MATCH("summary_n_domain",manifest!$A:$A,0)),"not in this export")</f>
        <v/>
      </c>
      <c r="U15">
        <f>IF(selection!H12=1,selection!M12,NA())</f>
        <v/>
      </c>
      <c r="V15">
        <f>IF(selection!H12=1,selection!N12,NA())</f>
        <v/>
      </c>
      <c r="W15">
        <f>IF(selection!H12=0,selection!M12,NA())</f>
        <v/>
      </c>
      <c r="X15">
        <f>IF(selection!H12=0,selection!N12,NA())</f>
        <v/>
      </c>
    </row>
    <row r="16">
      <c r="A16" t="inlineStr">
        <is>
          <t>Households in all domains</t>
        </is>
      </c>
      <c r="B16" s="5">
        <f>IFERROR(INDEX(manifest!$B:$B,MATCH("summary_n_total",manifest!$A:$A,0)),"not in this export")</f>
        <v/>
      </c>
      <c r="U16">
        <f>IF(selection!H13=1,selection!M13,NA())</f>
        <v/>
      </c>
      <c r="V16">
        <f>IF(selection!H13=1,selection!N13,NA())</f>
        <v/>
      </c>
      <c r="W16">
        <f>IF(selection!H13=0,selection!M13,NA())</f>
        <v/>
      </c>
      <c r="X16">
        <f>IF(selection!H13=0,selection!N13,NA())</f>
        <v/>
      </c>
    </row>
    <row r="17">
      <c r="A17" t="inlineStr">
        <is>
          <t>Interviews, simple random sample</t>
        </is>
      </c>
      <c r="B17" s="5">
        <f>IFERROR(INDEX(manifest!$B:$B,MATCH("summary_n_srs",manifest!$A:$A,0)),"not in this export")</f>
        <v/>
      </c>
      <c r="U17">
        <f>IF(selection!H14=1,selection!M14,NA())</f>
        <v/>
      </c>
      <c r="V17">
        <f>IF(selection!H14=1,selection!N14,NA())</f>
        <v/>
      </c>
      <c r="W17">
        <f>IF(selection!H14=0,selection!M14,NA())</f>
        <v/>
      </c>
      <c r="X17">
        <f>IF(selection!H14=0,selection!N14,NA())</f>
        <v/>
      </c>
    </row>
    <row r="18">
      <c r="A18" t="inlineStr">
        <is>
          <t>Attrition reserve factor</t>
        </is>
      </c>
      <c r="B18" s="5">
        <f>IFERROR(INDEX(manifest!$B:$B,MATCH("summary_f_attrition",manifest!$A:$A,0)),"not in this export")</f>
        <v/>
      </c>
      <c r="U18">
        <f>IF(selection!H15=1,selection!M15,NA())</f>
        <v/>
      </c>
      <c r="V18">
        <f>IF(selection!H15=1,selection!N15,NA())</f>
        <v/>
      </c>
      <c r="W18">
        <f>IF(selection!H15=0,selection!M15,NA())</f>
        <v/>
      </c>
      <c r="X18">
        <f>IF(selection!H15=0,selection!N15,NA())</f>
        <v/>
      </c>
    </row>
    <row r="19">
      <c r="A19" t="inlineStr">
        <is>
          <t>Total to allocate</t>
        </is>
      </c>
      <c r="B19" s="5">
        <f>IFERROR(INDEX(manifest!$B:$B,MATCH("summary_n",manifest!$A:$A,0)),"not in this export")</f>
        <v/>
      </c>
      <c r="U19">
        <f>IF(selection!H16=1,selection!M16,NA())</f>
        <v/>
      </c>
      <c r="V19">
        <f>IF(selection!H16=1,selection!N16,NA())</f>
        <v/>
      </c>
      <c r="W19">
        <f>IF(selection!H16=0,selection!M16,NA())</f>
        <v/>
      </c>
      <c r="X19">
        <f>IF(selection!H16=0,selection!N16,NA())</f>
        <v/>
      </c>
    </row>
    <row r="20">
      <c r="A20" t="inlineStr">
        <is>
          <t>Allocated after rounding</t>
        </is>
      </c>
      <c r="B20" s="5">
        <f>IFERROR(INDEX(manifest!$B:$B,MATCH("summary_n_rounded",manifest!$A:$A,0)),"not in this export")</f>
        <v/>
      </c>
      <c r="U20">
        <f>IF(selection!H17=1,selection!M17,NA())</f>
        <v/>
      </c>
      <c r="V20">
        <f>IF(selection!H17=1,selection!N17,NA())</f>
        <v/>
      </c>
      <c r="W20">
        <f>IF(selection!H17=0,selection!M17,NA())</f>
        <v/>
      </c>
      <c r="X20">
        <f>IF(selection!H17=0,selection!N17,NA())</f>
        <v/>
      </c>
    </row>
    <row r="21">
      <c r="A21" t="inlineStr">
        <is>
          <t>Frame units</t>
        </is>
      </c>
      <c r="B21" s="5">
        <f>IFERROR(INDEX(manifest!$B:$B,MATCH("summary_N_frame",manifest!$A:$A,0)),"not in this export")</f>
        <v/>
      </c>
      <c r="U21">
        <f>IF(selection!H18=1,selection!M18,NA())</f>
        <v/>
      </c>
      <c r="V21">
        <f>IF(selection!H18=1,selection!N18,NA())</f>
        <v/>
      </c>
      <c r="W21">
        <f>IF(selection!H18=0,selection!M18,NA())</f>
        <v/>
      </c>
      <c r="X21">
        <f>IF(selection!H18=0,selection!N18,NA())</f>
        <v/>
      </c>
    </row>
    <row r="22">
      <c r="A22" t="inlineStr">
        <is>
          <t>Selected units</t>
        </is>
      </c>
      <c r="B22" s="5">
        <f>IFERROR(INDEX(manifest!$B:$B,MATCH("summary_n_selected",manifest!$A:$A,0)),"not in this export")</f>
        <v/>
      </c>
      <c r="U22">
        <f>IF(selection!H19=1,selection!M19,NA())</f>
        <v/>
      </c>
      <c r="V22">
        <f>IF(selection!H19=1,selection!N19,NA())</f>
        <v/>
      </c>
      <c r="W22">
        <f>IF(selection!H19=0,selection!M19,NA())</f>
        <v/>
      </c>
      <c r="X22">
        <f>IF(selection!H19=0,selection!N19,NA())</f>
        <v/>
      </c>
    </row>
    <row r="23">
      <c r="A23" t="inlineStr">
        <is>
          <t>Reserve units</t>
        </is>
      </c>
      <c r="B23" s="5">
        <f>IFERROR(INDEX(manifest!$B:$B,MATCH("summary_n_reserve",manifest!$A:$A,0)),"not in this export")</f>
        <v/>
      </c>
      <c r="U23">
        <f>IF(selection!H20=1,selection!M20,NA())</f>
        <v/>
      </c>
      <c r="V23">
        <f>IF(selection!H20=1,selection!N20,NA())</f>
        <v/>
      </c>
      <c r="W23">
        <f>IF(selection!H20=0,selection!M20,NA())</f>
        <v/>
      </c>
      <c r="X23">
        <f>IF(selection!H20=0,selection!N20,NA())</f>
        <v/>
      </c>
    </row>
    <row r="24">
      <c r="A24" t="inlineStr">
        <is>
          <t>Certainty units</t>
        </is>
      </c>
      <c r="B24" s="5">
        <f>IFERROR(INDEX(manifest!$B:$B,MATCH("summary_n_certainty",manifest!$A:$A,0)),"not in this export")</f>
        <v/>
      </c>
      <c r="U24">
        <f>IF(selection!H21=1,selection!M21,NA())</f>
        <v/>
      </c>
      <c r="V24">
        <f>IF(selection!H21=1,selection!N21,NA())</f>
        <v/>
      </c>
      <c r="W24">
        <f>IF(selection!H21=0,selection!M21,NA())</f>
        <v/>
      </c>
      <c r="X24">
        <f>IF(selection!H21=0,selection!N21,NA())</f>
        <v/>
      </c>
    </row>
    <row r="25">
      <c r="A25" t="inlineStr">
        <is>
          <t>Strata</t>
        </is>
      </c>
      <c r="B25" s="5">
        <f>IFERROR(INDEX(manifest!$B:$B,MATCH("summary_H",manifest!$A:$A,0)),"not in this export")</f>
        <v/>
      </c>
      <c r="U25">
        <f>IF(selection!H22=1,selection!M22,NA())</f>
        <v/>
      </c>
      <c r="V25">
        <f>IF(selection!H22=1,selection!N22,NA())</f>
        <v/>
      </c>
      <c r="W25">
        <f>IF(selection!H22=0,selection!M22,NA())</f>
        <v/>
      </c>
      <c r="X25">
        <f>IF(selection!H22=0,selection!N22,NA())</f>
        <v/>
      </c>
    </row>
    <row r="26">
      <c r="A26" t="inlineStr">
        <is>
          <t>Seed</t>
        </is>
      </c>
      <c r="B26" s="5">
        <f>IFERROR(INDEX(manifest!$B:$B,MATCH("summary_seed",manifest!$A:$A,0)),"not in this export")</f>
        <v/>
      </c>
      <c r="U26">
        <f>IF(selection!H23=1,selection!M23,NA())</f>
        <v/>
      </c>
      <c r="V26">
        <f>IF(selection!H23=1,selection!N23,NA())</f>
        <v/>
      </c>
      <c r="W26">
        <f>IF(selection!H23=0,selection!M23,NA())</f>
        <v/>
      </c>
      <c r="X26">
        <f>IF(selection!H23=0,selection!N23,NA())</f>
        <v/>
      </c>
    </row>
    <row r="27">
      <c r="A27" t="inlineStr">
        <is>
          <t>Serpentine bands</t>
        </is>
      </c>
      <c r="B27" s="5">
        <f>IFERROR(INDEX(manifest!$B:$B,MATCH("summary_bands",manifest!$A:$A,0)),"not in this export")</f>
        <v/>
      </c>
      <c r="U27">
        <f>IF(selection!H24=1,selection!M24,NA())</f>
        <v/>
      </c>
      <c r="V27">
        <f>IF(selection!H24=1,selection!N24,NA())</f>
        <v/>
      </c>
      <c r="W27">
        <f>IF(selection!H24=0,selection!M24,NA())</f>
        <v/>
      </c>
      <c r="X27">
        <f>IF(selection!H24=0,selection!N24,NA())</f>
        <v/>
      </c>
    </row>
    <row r="28">
      <c r="A28" t="inlineStr">
        <is>
          <t>Numbers generated (RDD)</t>
        </is>
      </c>
      <c r="B28" s="5">
        <f>IFERROR(INDEX(manifest!$B:$B,MATCH("summary_n_numbers",manifest!$A:$A,0)),"not in this export")</f>
        <v/>
      </c>
      <c r="U28">
        <f>IF(selection!H25=1,selection!M25,NA())</f>
        <v/>
      </c>
      <c r="V28">
        <f>IF(selection!H25=1,selection!N25,NA())</f>
        <v/>
      </c>
      <c r="W28">
        <f>IF(selection!H25=0,selection!M25,NA())</f>
        <v/>
      </c>
      <c r="X28">
        <f>IF(selection!H25=0,selection!N25,NA())</f>
        <v/>
      </c>
    </row>
    <row r="29">
      <c r="U29">
        <f>IF(selection!H26=1,selection!M26,NA())</f>
        <v/>
      </c>
      <c r="V29">
        <f>IF(selection!H26=1,selection!N26,NA())</f>
        <v/>
      </c>
      <c r="W29">
        <f>IF(selection!H26=0,selection!M26,NA())</f>
        <v/>
      </c>
      <c r="X29">
        <f>IF(selection!H26=0,selection!N26,NA())</f>
        <v/>
      </c>
    </row>
    <row r="30">
      <c r="A30" s="3" t="inlineStr">
        <is>
          <t>Sample size per domain (size.csv)</t>
        </is>
      </c>
      <c r="U30">
        <f>IF(selection!H27=1,selection!M27,NA())</f>
        <v/>
      </c>
      <c r="V30">
        <f>IF(selection!H27=1,selection!N27,NA())</f>
        <v/>
      </c>
      <c r="W30">
        <f>IF(selection!H27=0,selection!M27,NA())</f>
        <v/>
      </c>
      <c r="X30">
        <f>IF(selection!H27=0,selection!N27,NA())</f>
        <v/>
      </c>
    </row>
    <row r="31">
      <c r="A31" s="6" t="inlineStr">
        <is>
          <t>domain</t>
        </is>
      </c>
      <c r="B31" s="6" t="inlineStr">
        <is>
          <t>p</t>
        </is>
      </c>
      <c r="C31" s="6" t="inlineStr">
        <is>
          <t>margin</t>
        </is>
      </c>
      <c r="D31" s="6" t="inlineStr">
        <is>
          <t>deff</t>
        </is>
      </c>
      <c r="E31" s="6" t="inlineStr">
        <is>
          <t>nonresponse</t>
        </is>
      </c>
      <c r="F31" s="6" t="inlineStr">
        <is>
          <t>attrition</t>
        </is>
      </c>
      <c r="G31" s="6" t="inlineStr">
        <is>
          <t>rounds</t>
        </is>
      </c>
      <c r="H31" s="6" t="inlineStr">
        <is>
          <t>n_effective</t>
        </is>
      </c>
      <c r="I31" s="6" t="inlineStr">
        <is>
          <t>n_final</t>
        </is>
      </c>
      <c r="U31">
        <f>IF(selection!H28=1,selection!M28,NA())</f>
        <v/>
      </c>
      <c r="V31">
        <f>IF(selection!H28=1,selection!N28,NA())</f>
        <v/>
      </c>
      <c r="W31">
        <f>IF(selection!H28=0,selection!M28,NA())</f>
        <v/>
      </c>
      <c r="X31">
        <f>IF(selection!H28=0,selection!N28,NA())</f>
        <v/>
      </c>
    </row>
    <row r="32">
      <c r="A32">
        <f>IF(size!A2="","",size!A2)</f>
        <v/>
      </c>
      <c r="B32" s="9">
        <f>IF(size!B2="","",size!B2)</f>
        <v/>
      </c>
      <c r="C32" s="11">
        <f>IF(size!C2="","",size!C2)</f>
        <v/>
      </c>
      <c r="D32" s="12">
        <f>IF(size!D2="","",size!D2)</f>
        <v/>
      </c>
      <c r="E32" s="12">
        <f>IF(size!E2="","",size!E2)</f>
        <v/>
      </c>
      <c r="F32" s="9">
        <f>IF(size!F2="","",size!F2)</f>
        <v/>
      </c>
      <c r="G32" s="13">
        <f>IF(size!G2="","",size!G2)</f>
        <v/>
      </c>
      <c r="H32" s="14">
        <f>IF(size!H2="","",size!H2)</f>
        <v/>
      </c>
      <c r="I32" s="7">
        <f>IF(size!I2="","",size!I2)</f>
        <v/>
      </c>
      <c r="U32">
        <f>IF(selection!H29=1,selection!M29,NA())</f>
        <v/>
      </c>
      <c r="V32">
        <f>IF(selection!H29=1,selection!N29,NA())</f>
        <v/>
      </c>
      <c r="W32">
        <f>IF(selection!H29=0,selection!M29,NA())</f>
        <v/>
      </c>
      <c r="X32">
        <f>IF(selection!H29=0,selection!N29,NA())</f>
        <v/>
      </c>
    </row>
    <row r="33">
      <c r="A33">
        <f>IF(size!A3="","",size!A3)</f>
        <v/>
      </c>
      <c r="B33" s="9">
        <f>IF(size!B3="","",size!B3)</f>
        <v/>
      </c>
      <c r="C33" s="11">
        <f>IF(size!C3="","",size!C3)</f>
        <v/>
      </c>
      <c r="D33" s="12">
        <f>IF(size!D3="","",size!D3)</f>
        <v/>
      </c>
      <c r="E33" s="12">
        <f>IF(size!E3="","",size!E3)</f>
        <v/>
      </c>
      <c r="F33" s="9">
        <f>IF(size!F3="","",size!F3)</f>
        <v/>
      </c>
      <c r="G33" s="13">
        <f>IF(size!G3="","",size!G3)</f>
        <v/>
      </c>
      <c r="H33" s="14">
        <f>IF(size!H3="","",size!H3)</f>
        <v/>
      </c>
      <c r="I33" s="7">
        <f>IF(size!I3="","",size!I3)</f>
        <v/>
      </c>
      <c r="U33">
        <f>IF(selection!H30=1,selection!M30,NA())</f>
        <v/>
      </c>
      <c r="V33">
        <f>IF(selection!H30=1,selection!N30,NA())</f>
        <v/>
      </c>
      <c r="W33">
        <f>IF(selection!H30=0,selection!M30,NA())</f>
        <v/>
      </c>
      <c r="X33">
        <f>IF(selection!H30=0,selection!N30,NA())</f>
        <v/>
      </c>
    </row>
    <row r="34">
      <c r="A34">
        <f>IF(size!A4="","",size!A4)</f>
        <v/>
      </c>
      <c r="B34" s="9">
        <f>IF(size!B4="","",size!B4)</f>
        <v/>
      </c>
      <c r="C34" s="11">
        <f>IF(size!C4="","",size!C4)</f>
        <v/>
      </c>
      <c r="D34" s="12">
        <f>IF(size!D4="","",size!D4)</f>
        <v/>
      </c>
      <c r="E34" s="12">
        <f>IF(size!E4="","",size!E4)</f>
        <v/>
      </c>
      <c r="F34" s="9">
        <f>IF(size!F4="","",size!F4)</f>
        <v/>
      </c>
      <c r="G34" s="13">
        <f>IF(size!G4="","",size!G4)</f>
        <v/>
      </c>
      <c r="H34" s="14">
        <f>IF(size!H4="","",size!H4)</f>
        <v/>
      </c>
      <c r="I34" s="7">
        <f>IF(size!I4="","",size!I4)</f>
        <v/>
      </c>
      <c r="U34">
        <f>IF(selection!H31=1,selection!M31,NA())</f>
        <v/>
      </c>
      <c r="V34">
        <f>IF(selection!H31=1,selection!N31,NA())</f>
        <v/>
      </c>
      <c r="W34">
        <f>IF(selection!H31=0,selection!M31,NA())</f>
        <v/>
      </c>
      <c r="X34">
        <f>IF(selection!H31=0,selection!N31,NA())</f>
        <v/>
      </c>
    </row>
    <row r="35">
      <c r="A35">
        <f>IF(size!A5="","",size!A5)</f>
        <v/>
      </c>
      <c r="B35" s="9">
        <f>IF(size!B5="","",size!B5)</f>
        <v/>
      </c>
      <c r="C35" s="11">
        <f>IF(size!C5="","",size!C5)</f>
        <v/>
      </c>
      <c r="D35" s="12">
        <f>IF(size!D5="","",size!D5)</f>
        <v/>
      </c>
      <c r="E35" s="12">
        <f>IF(size!E5="","",size!E5)</f>
        <v/>
      </c>
      <c r="F35" s="9">
        <f>IF(size!F5="","",size!F5)</f>
        <v/>
      </c>
      <c r="G35" s="13">
        <f>IF(size!G5="","",size!G5)</f>
        <v/>
      </c>
      <c r="H35" s="14">
        <f>IF(size!H5="","",size!H5)</f>
        <v/>
      </c>
      <c r="I35" s="7">
        <f>IF(size!I5="","",size!I5)</f>
        <v/>
      </c>
      <c r="U35">
        <f>IF(selection!H32=1,selection!M32,NA())</f>
        <v/>
      </c>
      <c r="V35">
        <f>IF(selection!H32=1,selection!N32,NA())</f>
        <v/>
      </c>
      <c r="W35">
        <f>IF(selection!H32=0,selection!M32,NA())</f>
        <v/>
      </c>
      <c r="X35">
        <f>IF(selection!H32=0,selection!N32,NA())</f>
        <v/>
      </c>
    </row>
    <row r="36">
      <c r="A36">
        <f>IF(size!A6="","",size!A6)</f>
        <v/>
      </c>
      <c r="B36" s="9">
        <f>IF(size!B6="","",size!B6)</f>
        <v/>
      </c>
      <c r="C36" s="11">
        <f>IF(size!C6="","",size!C6)</f>
        <v/>
      </c>
      <c r="D36" s="12">
        <f>IF(size!D6="","",size!D6)</f>
        <v/>
      </c>
      <c r="E36" s="12">
        <f>IF(size!E6="","",size!E6)</f>
        <v/>
      </c>
      <c r="F36" s="9">
        <f>IF(size!F6="","",size!F6)</f>
        <v/>
      </c>
      <c r="G36" s="13">
        <f>IF(size!G6="","",size!G6)</f>
        <v/>
      </c>
      <c r="H36" s="14">
        <f>IF(size!H6="","",size!H6)</f>
        <v/>
      </c>
      <c r="I36" s="7">
        <f>IF(size!I6="","",size!I6)</f>
        <v/>
      </c>
      <c r="U36">
        <f>IF(selection!H33=1,selection!M33,NA())</f>
        <v/>
      </c>
      <c r="V36">
        <f>IF(selection!H33=1,selection!N33,NA())</f>
        <v/>
      </c>
      <c r="W36">
        <f>IF(selection!H33=0,selection!M33,NA())</f>
        <v/>
      </c>
      <c r="X36">
        <f>IF(selection!H33=0,selection!N33,NA())</f>
        <v/>
      </c>
    </row>
    <row r="37">
      <c r="A37">
        <f>IF(size!A7="","",size!A7)</f>
        <v/>
      </c>
      <c r="B37" s="9">
        <f>IF(size!B7="","",size!B7)</f>
        <v/>
      </c>
      <c r="C37" s="11">
        <f>IF(size!C7="","",size!C7)</f>
        <v/>
      </c>
      <c r="D37" s="12">
        <f>IF(size!D7="","",size!D7)</f>
        <v/>
      </c>
      <c r="E37" s="12">
        <f>IF(size!E7="","",size!E7)</f>
        <v/>
      </c>
      <c r="F37" s="9">
        <f>IF(size!F7="","",size!F7)</f>
        <v/>
      </c>
      <c r="G37" s="13">
        <f>IF(size!G7="","",size!G7)</f>
        <v/>
      </c>
      <c r="H37" s="14">
        <f>IF(size!H7="","",size!H7)</f>
        <v/>
      </c>
      <c r="I37" s="7">
        <f>IF(size!I7="","",size!I7)</f>
        <v/>
      </c>
      <c r="U37">
        <f>IF(selection!H34=1,selection!M34,NA())</f>
        <v/>
      </c>
      <c r="V37">
        <f>IF(selection!H34=1,selection!N34,NA())</f>
        <v/>
      </c>
      <c r="W37">
        <f>IF(selection!H34=0,selection!M34,NA())</f>
        <v/>
      </c>
      <c r="X37">
        <f>IF(selection!H34=0,selection!N34,NA())</f>
        <v/>
      </c>
    </row>
    <row r="38">
      <c r="U38">
        <f>IF(selection!H35=1,selection!M35,NA())</f>
        <v/>
      </c>
      <c r="V38">
        <f>IF(selection!H35=1,selection!N35,NA())</f>
        <v/>
      </c>
      <c r="W38">
        <f>IF(selection!H35=0,selection!M35,NA())</f>
        <v/>
      </c>
      <c r="X38">
        <f>IF(selection!H35=0,selection!N35,NA())</f>
        <v/>
      </c>
    </row>
    <row r="39">
      <c r="A39" s="3" t="inlineStr">
        <is>
          <t>Allocation across strata (allocation.csv): planned against final</t>
        </is>
      </c>
      <c r="U39">
        <f>IF(selection!H36=1,selection!M36,NA())</f>
        <v/>
      </c>
      <c r="V39">
        <f>IF(selection!H36=1,selection!N36,NA())</f>
        <v/>
      </c>
      <c r="W39">
        <f>IF(selection!H36=0,selection!M36,NA())</f>
        <v/>
      </c>
      <c r="X39">
        <f>IF(selection!H36=0,selection!N36,NA())</f>
        <v/>
      </c>
    </row>
    <row r="40">
      <c r="A40" s="6" t="inlineStr">
        <is>
          <t>stratum</t>
        </is>
      </c>
      <c r="B40" s="6" t="inlineStr">
        <is>
          <t>n_units</t>
        </is>
      </c>
      <c r="C40" s="6" t="inlineStr">
        <is>
          <t>size_sum</t>
        </is>
      </c>
      <c r="D40" s="6" t="inlineStr">
        <is>
          <t>share</t>
        </is>
      </c>
      <c r="E40" s="6" t="inlineStr">
        <is>
          <t>n_planned</t>
        </is>
      </c>
      <c r="F40" s="6" t="inlineStr">
        <is>
          <t>n_min</t>
        </is>
      </c>
      <c r="G40" s="6" t="inlineStr">
        <is>
          <t>n_max</t>
        </is>
      </c>
      <c r="H40" s="6" t="inlineStr">
        <is>
          <t>n_final</t>
        </is>
      </c>
      <c r="I40" s="6" t="inlineStr">
        <is>
          <t>sampling_fraction</t>
        </is>
      </c>
      <c r="U40">
        <f>IF(selection!H37=1,selection!M37,NA())</f>
        <v/>
      </c>
      <c r="V40">
        <f>IF(selection!H37=1,selection!N37,NA())</f>
        <v/>
      </c>
      <c r="W40">
        <f>IF(selection!H37=0,selection!M37,NA())</f>
        <v/>
      </c>
      <c r="X40">
        <f>IF(selection!H37=0,selection!N37,NA())</f>
        <v/>
      </c>
    </row>
    <row r="41">
      <c r="A41">
        <f>IF(allocation!A2="","",allocation!A2)</f>
        <v/>
      </c>
      <c r="B41" s="7">
        <f>IF(allocation!B2="","",allocation!B2)</f>
        <v/>
      </c>
      <c r="C41" s="7">
        <f>IF(allocation!C2="","",allocation!C2)</f>
        <v/>
      </c>
      <c r="D41" s="9">
        <f>IF(allocation!D2="","",allocation!D2)</f>
        <v/>
      </c>
      <c r="E41" s="12">
        <f>IF(allocation!E2="","",allocation!E2)</f>
        <v/>
      </c>
      <c r="F41" s="13">
        <f>IF(allocation!F2="","",allocation!F2)</f>
        <v/>
      </c>
      <c r="G41" s="13">
        <f>IF(allocation!G2="","",allocation!G2)</f>
        <v/>
      </c>
      <c r="H41" s="7">
        <f>IF(allocation!H2="","",allocation!H2)</f>
        <v/>
      </c>
      <c r="I41" s="11">
        <f>IF(allocation!I2="","",allocation!I2)</f>
        <v/>
      </c>
      <c r="U41">
        <f>IF(selection!H38=1,selection!M38,NA())</f>
        <v/>
      </c>
      <c r="V41">
        <f>IF(selection!H38=1,selection!N38,NA())</f>
        <v/>
      </c>
      <c r="W41">
        <f>IF(selection!H38=0,selection!M38,NA())</f>
        <v/>
      </c>
      <c r="X41">
        <f>IF(selection!H38=0,selection!N38,NA())</f>
        <v/>
      </c>
    </row>
    <row r="42">
      <c r="A42">
        <f>IF(allocation!A3="","",allocation!A3)</f>
        <v/>
      </c>
      <c r="B42" s="7">
        <f>IF(allocation!B3="","",allocation!B3)</f>
        <v/>
      </c>
      <c r="C42" s="7">
        <f>IF(allocation!C3="","",allocation!C3)</f>
        <v/>
      </c>
      <c r="D42" s="9">
        <f>IF(allocation!D3="","",allocation!D3)</f>
        <v/>
      </c>
      <c r="E42" s="12">
        <f>IF(allocation!E3="","",allocation!E3)</f>
        <v/>
      </c>
      <c r="F42" s="13">
        <f>IF(allocation!F3="","",allocation!F3)</f>
        <v/>
      </c>
      <c r="G42" s="13">
        <f>IF(allocation!G3="","",allocation!G3)</f>
        <v/>
      </c>
      <c r="H42" s="7">
        <f>IF(allocation!H3="","",allocation!H3)</f>
        <v/>
      </c>
      <c r="I42" s="11">
        <f>IF(allocation!I3="","",allocation!I3)</f>
        <v/>
      </c>
      <c r="U42">
        <f>IF(selection!H39=1,selection!M39,NA())</f>
        <v/>
      </c>
      <c r="V42">
        <f>IF(selection!H39=1,selection!N39,NA())</f>
        <v/>
      </c>
      <c r="W42">
        <f>IF(selection!H39=0,selection!M39,NA())</f>
        <v/>
      </c>
      <c r="X42">
        <f>IF(selection!H39=0,selection!N39,NA())</f>
        <v/>
      </c>
    </row>
    <row r="43">
      <c r="A43">
        <f>IF(allocation!A4="","",allocation!A4)</f>
        <v/>
      </c>
      <c r="B43" s="7">
        <f>IF(allocation!B4="","",allocation!B4)</f>
        <v/>
      </c>
      <c r="C43" s="7">
        <f>IF(allocation!C4="","",allocation!C4)</f>
        <v/>
      </c>
      <c r="D43" s="9">
        <f>IF(allocation!D4="","",allocation!D4)</f>
        <v/>
      </c>
      <c r="E43" s="12">
        <f>IF(allocation!E4="","",allocation!E4)</f>
        <v/>
      </c>
      <c r="F43" s="13">
        <f>IF(allocation!F4="","",allocation!F4)</f>
        <v/>
      </c>
      <c r="G43" s="13">
        <f>IF(allocation!G4="","",allocation!G4)</f>
        <v/>
      </c>
      <c r="H43" s="7">
        <f>IF(allocation!H4="","",allocation!H4)</f>
        <v/>
      </c>
      <c r="I43" s="11">
        <f>IF(allocation!I4="","",allocation!I4)</f>
        <v/>
      </c>
      <c r="U43">
        <f>IF(selection!H40=1,selection!M40,NA())</f>
        <v/>
      </c>
      <c r="V43">
        <f>IF(selection!H40=1,selection!N40,NA())</f>
        <v/>
      </c>
      <c r="W43">
        <f>IF(selection!H40=0,selection!M40,NA())</f>
        <v/>
      </c>
      <c r="X43">
        <f>IF(selection!H40=0,selection!N40,NA())</f>
        <v/>
      </c>
    </row>
    <row r="44">
      <c r="A44">
        <f>IF(allocation!A5="","",allocation!A5)</f>
        <v/>
      </c>
      <c r="B44" s="7">
        <f>IF(allocation!B5="","",allocation!B5)</f>
        <v/>
      </c>
      <c r="C44" s="7">
        <f>IF(allocation!C5="","",allocation!C5)</f>
        <v/>
      </c>
      <c r="D44" s="9">
        <f>IF(allocation!D5="","",allocation!D5)</f>
        <v/>
      </c>
      <c r="E44" s="12">
        <f>IF(allocation!E5="","",allocation!E5)</f>
        <v/>
      </c>
      <c r="F44" s="13">
        <f>IF(allocation!F5="","",allocation!F5)</f>
        <v/>
      </c>
      <c r="G44" s="13">
        <f>IF(allocation!G5="","",allocation!G5)</f>
        <v/>
      </c>
      <c r="H44" s="7">
        <f>IF(allocation!H5="","",allocation!H5)</f>
        <v/>
      </c>
      <c r="I44" s="11">
        <f>IF(allocation!I5="","",allocation!I5)</f>
        <v/>
      </c>
      <c r="U44">
        <f>IF(selection!H41=1,selection!M41,NA())</f>
        <v/>
      </c>
      <c r="V44">
        <f>IF(selection!H41=1,selection!N41,NA())</f>
        <v/>
      </c>
      <c r="W44">
        <f>IF(selection!H41=0,selection!M41,NA())</f>
        <v/>
      </c>
      <c r="X44">
        <f>IF(selection!H41=0,selection!N41,NA())</f>
        <v/>
      </c>
    </row>
    <row r="45">
      <c r="A45">
        <f>IF(allocation!A6="","",allocation!A6)</f>
        <v/>
      </c>
      <c r="B45" s="7">
        <f>IF(allocation!B6="","",allocation!B6)</f>
        <v/>
      </c>
      <c r="C45" s="7">
        <f>IF(allocation!C6="","",allocation!C6)</f>
        <v/>
      </c>
      <c r="D45" s="9">
        <f>IF(allocation!D6="","",allocation!D6)</f>
        <v/>
      </c>
      <c r="E45" s="12">
        <f>IF(allocation!E6="","",allocation!E6)</f>
        <v/>
      </c>
      <c r="F45" s="13">
        <f>IF(allocation!F6="","",allocation!F6)</f>
        <v/>
      </c>
      <c r="G45" s="13">
        <f>IF(allocation!G6="","",allocation!G6)</f>
        <v/>
      </c>
      <c r="H45" s="7">
        <f>IF(allocation!H6="","",allocation!H6)</f>
        <v/>
      </c>
      <c r="I45" s="11">
        <f>IF(allocation!I6="","",allocation!I6)</f>
        <v/>
      </c>
      <c r="U45">
        <f>IF(selection!H42=1,selection!M42,NA())</f>
        <v/>
      </c>
      <c r="V45">
        <f>IF(selection!H42=1,selection!N42,NA())</f>
        <v/>
      </c>
      <c r="W45">
        <f>IF(selection!H42=0,selection!M42,NA())</f>
        <v/>
      </c>
      <c r="X45">
        <f>IF(selection!H42=0,selection!N42,NA())</f>
        <v/>
      </c>
    </row>
    <row r="46">
      <c r="A46">
        <f>IF(allocation!A7="","",allocation!A7)</f>
        <v/>
      </c>
      <c r="B46" s="7">
        <f>IF(allocation!B7="","",allocation!B7)</f>
        <v/>
      </c>
      <c r="C46" s="7">
        <f>IF(allocation!C7="","",allocation!C7)</f>
        <v/>
      </c>
      <c r="D46" s="9">
        <f>IF(allocation!D7="","",allocation!D7)</f>
        <v/>
      </c>
      <c r="E46" s="12">
        <f>IF(allocation!E7="","",allocation!E7)</f>
        <v/>
      </c>
      <c r="F46" s="13">
        <f>IF(allocation!F7="","",allocation!F7)</f>
        <v/>
      </c>
      <c r="G46" s="13">
        <f>IF(allocation!G7="","",allocation!G7)</f>
        <v/>
      </c>
      <c r="H46" s="7">
        <f>IF(allocation!H7="","",allocation!H7)</f>
        <v/>
      </c>
      <c r="I46" s="11">
        <f>IF(allocation!I7="","",allocation!I7)</f>
        <v/>
      </c>
      <c r="U46">
        <f>IF(selection!H43=1,selection!M43,NA())</f>
        <v/>
      </c>
      <c r="V46">
        <f>IF(selection!H43=1,selection!N43,NA())</f>
        <v/>
      </c>
      <c r="W46">
        <f>IF(selection!H43=0,selection!M43,NA())</f>
        <v/>
      </c>
      <c r="X46">
        <f>IF(selection!H43=0,selection!N43,NA())</f>
        <v/>
      </c>
    </row>
    <row r="47">
      <c r="A47">
        <f>IF(allocation!A8="","",allocation!A8)</f>
        <v/>
      </c>
      <c r="B47" s="7">
        <f>IF(allocation!B8="","",allocation!B8)</f>
        <v/>
      </c>
      <c r="C47" s="7">
        <f>IF(allocation!C8="","",allocation!C8)</f>
        <v/>
      </c>
      <c r="D47" s="9">
        <f>IF(allocation!D8="","",allocation!D8)</f>
        <v/>
      </c>
      <c r="E47" s="12">
        <f>IF(allocation!E8="","",allocation!E8)</f>
        <v/>
      </c>
      <c r="F47" s="13">
        <f>IF(allocation!F8="","",allocation!F8)</f>
        <v/>
      </c>
      <c r="G47" s="13">
        <f>IF(allocation!G8="","",allocation!G8)</f>
        <v/>
      </c>
      <c r="H47" s="7">
        <f>IF(allocation!H8="","",allocation!H8)</f>
        <v/>
      </c>
      <c r="I47" s="11">
        <f>IF(allocation!I8="","",allocation!I8)</f>
        <v/>
      </c>
      <c r="U47">
        <f>IF(selection!H44=1,selection!M44,NA())</f>
        <v/>
      </c>
      <c r="V47">
        <f>IF(selection!H44=1,selection!N44,NA())</f>
        <v/>
      </c>
      <c r="W47">
        <f>IF(selection!H44=0,selection!M44,NA())</f>
        <v/>
      </c>
      <c r="X47">
        <f>IF(selection!H44=0,selection!N44,NA())</f>
        <v/>
      </c>
    </row>
    <row r="48">
      <c r="A48">
        <f>IF(allocation!A9="","",allocation!A9)</f>
        <v/>
      </c>
      <c r="B48" s="7">
        <f>IF(allocation!B9="","",allocation!B9)</f>
        <v/>
      </c>
      <c r="C48" s="7">
        <f>IF(allocation!C9="","",allocation!C9)</f>
        <v/>
      </c>
      <c r="D48" s="9">
        <f>IF(allocation!D9="","",allocation!D9)</f>
        <v/>
      </c>
      <c r="E48" s="12">
        <f>IF(allocation!E9="","",allocation!E9)</f>
        <v/>
      </c>
      <c r="F48" s="13">
        <f>IF(allocation!F9="","",allocation!F9)</f>
        <v/>
      </c>
      <c r="G48" s="13">
        <f>IF(allocation!G9="","",allocation!G9)</f>
        <v/>
      </c>
      <c r="H48" s="7">
        <f>IF(allocation!H9="","",allocation!H9)</f>
        <v/>
      </c>
      <c r="I48" s="11">
        <f>IF(allocation!I9="","",allocation!I9)</f>
        <v/>
      </c>
      <c r="U48">
        <f>IF(selection!H45=1,selection!M45,NA())</f>
        <v/>
      </c>
      <c r="V48">
        <f>IF(selection!H45=1,selection!N45,NA())</f>
        <v/>
      </c>
      <c r="W48">
        <f>IF(selection!H45=0,selection!M45,NA())</f>
        <v/>
      </c>
      <c r="X48">
        <f>IF(selection!H45=0,selection!N45,NA())</f>
        <v/>
      </c>
    </row>
    <row r="49">
      <c r="A49">
        <f>IF(allocation!A10="","",allocation!A10)</f>
        <v/>
      </c>
      <c r="B49" s="7">
        <f>IF(allocation!B10="","",allocation!B10)</f>
        <v/>
      </c>
      <c r="C49" s="7">
        <f>IF(allocation!C10="","",allocation!C10)</f>
        <v/>
      </c>
      <c r="D49" s="9">
        <f>IF(allocation!D10="","",allocation!D10)</f>
        <v/>
      </c>
      <c r="E49" s="12">
        <f>IF(allocation!E10="","",allocation!E10)</f>
        <v/>
      </c>
      <c r="F49" s="13">
        <f>IF(allocation!F10="","",allocation!F10)</f>
        <v/>
      </c>
      <c r="G49" s="13">
        <f>IF(allocation!G10="","",allocation!G10)</f>
        <v/>
      </c>
      <c r="H49" s="7">
        <f>IF(allocation!H10="","",allocation!H10)</f>
        <v/>
      </c>
      <c r="I49" s="11">
        <f>IF(allocation!I10="","",allocation!I10)</f>
        <v/>
      </c>
      <c r="U49">
        <f>IF(selection!H46=1,selection!M46,NA())</f>
        <v/>
      </c>
      <c r="V49">
        <f>IF(selection!H46=1,selection!N46,NA())</f>
        <v/>
      </c>
      <c r="W49">
        <f>IF(selection!H46=0,selection!M46,NA())</f>
        <v/>
      </c>
      <c r="X49">
        <f>IF(selection!H46=0,selection!N46,NA())</f>
        <v/>
      </c>
    </row>
    <row r="50">
      <c r="A50">
        <f>IF(allocation!A11="","",allocation!A11)</f>
        <v/>
      </c>
      <c r="B50" s="7">
        <f>IF(allocation!B11="","",allocation!B11)</f>
        <v/>
      </c>
      <c r="C50" s="7">
        <f>IF(allocation!C11="","",allocation!C11)</f>
        <v/>
      </c>
      <c r="D50" s="9">
        <f>IF(allocation!D11="","",allocation!D11)</f>
        <v/>
      </c>
      <c r="E50" s="12">
        <f>IF(allocation!E11="","",allocation!E11)</f>
        <v/>
      </c>
      <c r="F50" s="13">
        <f>IF(allocation!F11="","",allocation!F11)</f>
        <v/>
      </c>
      <c r="G50" s="13">
        <f>IF(allocation!G11="","",allocation!G11)</f>
        <v/>
      </c>
      <c r="H50" s="7">
        <f>IF(allocation!H11="","",allocation!H11)</f>
        <v/>
      </c>
      <c r="I50" s="11">
        <f>IF(allocation!I11="","",allocation!I11)</f>
        <v/>
      </c>
      <c r="U50">
        <f>IF(selection!H47=1,selection!M47,NA())</f>
        <v/>
      </c>
      <c r="V50">
        <f>IF(selection!H47=1,selection!N47,NA())</f>
        <v/>
      </c>
      <c r="W50">
        <f>IF(selection!H47=0,selection!M47,NA())</f>
        <v/>
      </c>
      <c r="X50">
        <f>IF(selection!H47=0,selection!N47,NA())</f>
        <v/>
      </c>
    </row>
    <row r="51">
      <c r="A51">
        <f>IF(allocation!A12="","",allocation!A12)</f>
        <v/>
      </c>
      <c r="B51" s="7">
        <f>IF(allocation!B12="","",allocation!B12)</f>
        <v/>
      </c>
      <c r="C51" s="7">
        <f>IF(allocation!C12="","",allocation!C12)</f>
        <v/>
      </c>
      <c r="D51" s="9">
        <f>IF(allocation!D12="","",allocation!D12)</f>
        <v/>
      </c>
      <c r="E51" s="12">
        <f>IF(allocation!E12="","",allocation!E12)</f>
        <v/>
      </c>
      <c r="F51" s="13">
        <f>IF(allocation!F12="","",allocation!F12)</f>
        <v/>
      </c>
      <c r="G51" s="13">
        <f>IF(allocation!G12="","",allocation!G12)</f>
        <v/>
      </c>
      <c r="H51" s="7">
        <f>IF(allocation!H12="","",allocation!H12)</f>
        <v/>
      </c>
      <c r="I51" s="11">
        <f>IF(allocation!I12="","",allocation!I12)</f>
        <v/>
      </c>
      <c r="U51">
        <f>IF(selection!H48=1,selection!M48,NA())</f>
        <v/>
      </c>
      <c r="V51">
        <f>IF(selection!H48=1,selection!N48,NA())</f>
        <v/>
      </c>
      <c r="W51">
        <f>IF(selection!H48=0,selection!M48,NA())</f>
        <v/>
      </c>
      <c r="X51">
        <f>IF(selection!H48=0,selection!N48,NA())</f>
        <v/>
      </c>
    </row>
    <row r="52">
      <c r="A52">
        <f>IF(allocation!A13="","",allocation!A13)</f>
        <v/>
      </c>
      <c r="B52" s="7">
        <f>IF(allocation!B13="","",allocation!B13)</f>
        <v/>
      </c>
      <c r="C52" s="7">
        <f>IF(allocation!C13="","",allocation!C13)</f>
        <v/>
      </c>
      <c r="D52" s="9">
        <f>IF(allocation!D13="","",allocation!D13)</f>
        <v/>
      </c>
      <c r="E52" s="12">
        <f>IF(allocation!E13="","",allocation!E13)</f>
        <v/>
      </c>
      <c r="F52" s="13">
        <f>IF(allocation!F13="","",allocation!F13)</f>
        <v/>
      </c>
      <c r="G52" s="13">
        <f>IF(allocation!G13="","",allocation!G13)</f>
        <v/>
      </c>
      <c r="H52" s="7">
        <f>IF(allocation!H13="","",allocation!H13)</f>
        <v/>
      </c>
      <c r="I52" s="11">
        <f>IF(allocation!I13="","",allocation!I13)</f>
        <v/>
      </c>
      <c r="U52">
        <f>IF(selection!H49=1,selection!M49,NA())</f>
        <v/>
      </c>
      <c r="V52">
        <f>IF(selection!H49=1,selection!N49,NA())</f>
        <v/>
      </c>
      <c r="W52">
        <f>IF(selection!H49=0,selection!M49,NA())</f>
        <v/>
      </c>
      <c r="X52">
        <f>IF(selection!H49=0,selection!N49,NA())</f>
        <v/>
      </c>
    </row>
    <row r="53">
      <c r="A53">
        <f>IF(allocation!A14="","",allocation!A14)</f>
        <v/>
      </c>
      <c r="B53" s="7">
        <f>IF(allocation!B14="","",allocation!B14)</f>
        <v/>
      </c>
      <c r="C53" s="7">
        <f>IF(allocation!C14="","",allocation!C14)</f>
        <v/>
      </c>
      <c r="D53" s="9">
        <f>IF(allocation!D14="","",allocation!D14)</f>
        <v/>
      </c>
      <c r="E53" s="12">
        <f>IF(allocation!E14="","",allocation!E14)</f>
        <v/>
      </c>
      <c r="F53" s="13">
        <f>IF(allocation!F14="","",allocation!F14)</f>
        <v/>
      </c>
      <c r="G53" s="13">
        <f>IF(allocation!G14="","",allocation!G14)</f>
        <v/>
      </c>
      <c r="H53" s="7">
        <f>IF(allocation!H14="","",allocation!H14)</f>
        <v/>
      </c>
      <c r="I53" s="11">
        <f>IF(allocation!I14="","",allocation!I14)</f>
        <v/>
      </c>
      <c r="U53">
        <f>IF(selection!H50=1,selection!M50,NA())</f>
        <v/>
      </c>
      <c r="V53">
        <f>IF(selection!H50=1,selection!N50,NA())</f>
        <v/>
      </c>
      <c r="W53">
        <f>IF(selection!H50=0,selection!M50,NA())</f>
        <v/>
      </c>
      <c r="X53">
        <f>IF(selection!H50=0,selection!N50,NA())</f>
        <v/>
      </c>
    </row>
    <row r="54">
      <c r="A54">
        <f>IF(allocation!A15="","",allocation!A15)</f>
        <v/>
      </c>
      <c r="B54" s="7">
        <f>IF(allocation!B15="","",allocation!B15)</f>
        <v/>
      </c>
      <c r="C54" s="7">
        <f>IF(allocation!C15="","",allocation!C15)</f>
        <v/>
      </c>
      <c r="D54" s="9">
        <f>IF(allocation!D15="","",allocation!D15)</f>
        <v/>
      </c>
      <c r="E54" s="12">
        <f>IF(allocation!E15="","",allocation!E15)</f>
        <v/>
      </c>
      <c r="F54" s="13">
        <f>IF(allocation!F15="","",allocation!F15)</f>
        <v/>
      </c>
      <c r="G54" s="13">
        <f>IF(allocation!G15="","",allocation!G15)</f>
        <v/>
      </c>
      <c r="H54" s="7">
        <f>IF(allocation!H15="","",allocation!H15)</f>
        <v/>
      </c>
      <c r="I54" s="11">
        <f>IF(allocation!I15="","",allocation!I15)</f>
        <v/>
      </c>
      <c r="U54">
        <f>IF(selection!H51=1,selection!M51,NA())</f>
        <v/>
      </c>
      <c r="V54">
        <f>IF(selection!H51=1,selection!N51,NA())</f>
        <v/>
      </c>
      <c r="W54">
        <f>IF(selection!H51=0,selection!M51,NA())</f>
        <v/>
      </c>
      <c r="X54">
        <f>IF(selection!H51=0,selection!N51,NA())</f>
        <v/>
      </c>
    </row>
    <row r="55">
      <c r="A55">
        <f>IF(allocation!A16="","",allocation!A16)</f>
        <v/>
      </c>
      <c r="B55" s="7">
        <f>IF(allocation!B16="","",allocation!B16)</f>
        <v/>
      </c>
      <c r="C55" s="7">
        <f>IF(allocation!C16="","",allocation!C16)</f>
        <v/>
      </c>
      <c r="D55" s="9">
        <f>IF(allocation!D16="","",allocation!D16)</f>
        <v/>
      </c>
      <c r="E55" s="12">
        <f>IF(allocation!E16="","",allocation!E16)</f>
        <v/>
      </c>
      <c r="F55" s="13">
        <f>IF(allocation!F16="","",allocation!F16)</f>
        <v/>
      </c>
      <c r="G55" s="13">
        <f>IF(allocation!G16="","",allocation!G16)</f>
        <v/>
      </c>
      <c r="H55" s="7">
        <f>IF(allocation!H16="","",allocation!H16)</f>
        <v/>
      </c>
      <c r="I55" s="11">
        <f>IF(allocation!I16="","",allocation!I16)</f>
        <v/>
      </c>
      <c r="U55">
        <f>IF(selection!H52=1,selection!M52,NA())</f>
        <v/>
      </c>
      <c r="V55">
        <f>IF(selection!H52=1,selection!N52,NA())</f>
        <v/>
      </c>
      <c r="W55">
        <f>IF(selection!H52=0,selection!M52,NA())</f>
        <v/>
      </c>
      <c r="X55">
        <f>IF(selection!H52=0,selection!N52,NA())</f>
        <v/>
      </c>
    </row>
    <row r="56">
      <c r="A56">
        <f>IF(allocation!A17="","",allocation!A17)</f>
        <v/>
      </c>
      <c r="B56" s="7">
        <f>IF(allocation!B17="","",allocation!B17)</f>
        <v/>
      </c>
      <c r="C56" s="7">
        <f>IF(allocation!C17="","",allocation!C17)</f>
        <v/>
      </c>
      <c r="D56" s="9">
        <f>IF(allocation!D17="","",allocation!D17)</f>
        <v/>
      </c>
      <c r="E56" s="12">
        <f>IF(allocation!E17="","",allocation!E17)</f>
        <v/>
      </c>
      <c r="F56" s="13">
        <f>IF(allocation!F17="","",allocation!F17)</f>
        <v/>
      </c>
      <c r="G56" s="13">
        <f>IF(allocation!G17="","",allocation!G17)</f>
        <v/>
      </c>
      <c r="H56" s="7">
        <f>IF(allocation!H17="","",allocation!H17)</f>
        <v/>
      </c>
      <c r="I56" s="11">
        <f>IF(allocation!I17="","",allocation!I17)</f>
        <v/>
      </c>
      <c r="U56">
        <f>IF(selection!H53=1,selection!M53,NA())</f>
        <v/>
      </c>
      <c r="V56">
        <f>IF(selection!H53=1,selection!N53,NA())</f>
        <v/>
      </c>
      <c r="W56">
        <f>IF(selection!H53=0,selection!M53,NA())</f>
        <v/>
      </c>
      <c r="X56">
        <f>IF(selection!H53=0,selection!N53,NA())</f>
        <v/>
      </c>
    </row>
    <row r="57">
      <c r="A57">
        <f>IF(allocation!A18="","",allocation!A18)</f>
        <v/>
      </c>
      <c r="B57" s="7">
        <f>IF(allocation!B18="","",allocation!B18)</f>
        <v/>
      </c>
      <c r="C57" s="7">
        <f>IF(allocation!C18="","",allocation!C18)</f>
        <v/>
      </c>
      <c r="D57" s="9">
        <f>IF(allocation!D18="","",allocation!D18)</f>
        <v/>
      </c>
      <c r="E57" s="12">
        <f>IF(allocation!E18="","",allocation!E18)</f>
        <v/>
      </c>
      <c r="F57" s="13">
        <f>IF(allocation!F18="","",allocation!F18)</f>
        <v/>
      </c>
      <c r="G57" s="13">
        <f>IF(allocation!G18="","",allocation!G18)</f>
        <v/>
      </c>
      <c r="H57" s="7">
        <f>IF(allocation!H18="","",allocation!H18)</f>
        <v/>
      </c>
      <c r="I57" s="11">
        <f>IF(allocation!I18="","",allocation!I18)</f>
        <v/>
      </c>
      <c r="U57">
        <f>IF(selection!H54=1,selection!M54,NA())</f>
        <v/>
      </c>
      <c r="V57">
        <f>IF(selection!H54=1,selection!N54,NA())</f>
        <v/>
      </c>
      <c r="W57">
        <f>IF(selection!H54=0,selection!M54,NA())</f>
        <v/>
      </c>
      <c r="X57">
        <f>IF(selection!H54=0,selection!N54,NA())</f>
        <v/>
      </c>
    </row>
    <row r="58">
      <c r="A58">
        <f>IF(allocation!A19="","",allocation!A19)</f>
        <v/>
      </c>
      <c r="B58" s="7">
        <f>IF(allocation!B19="","",allocation!B19)</f>
        <v/>
      </c>
      <c r="C58" s="7">
        <f>IF(allocation!C19="","",allocation!C19)</f>
        <v/>
      </c>
      <c r="D58" s="9">
        <f>IF(allocation!D19="","",allocation!D19)</f>
        <v/>
      </c>
      <c r="E58" s="12">
        <f>IF(allocation!E19="","",allocation!E19)</f>
        <v/>
      </c>
      <c r="F58" s="13">
        <f>IF(allocation!F19="","",allocation!F19)</f>
        <v/>
      </c>
      <c r="G58" s="13">
        <f>IF(allocation!G19="","",allocation!G19)</f>
        <v/>
      </c>
      <c r="H58" s="7">
        <f>IF(allocation!H19="","",allocation!H19)</f>
        <v/>
      </c>
      <c r="I58" s="11">
        <f>IF(allocation!I19="","",allocation!I19)</f>
        <v/>
      </c>
      <c r="U58">
        <f>IF(selection!H55=1,selection!M55,NA())</f>
        <v/>
      </c>
      <c r="V58">
        <f>IF(selection!H55=1,selection!N55,NA())</f>
        <v/>
      </c>
      <c r="W58">
        <f>IF(selection!H55=0,selection!M55,NA())</f>
        <v/>
      </c>
      <c r="X58">
        <f>IF(selection!H55=0,selection!N55,NA())</f>
        <v/>
      </c>
    </row>
    <row r="59">
      <c r="A59">
        <f>IF(allocation!A20="","",allocation!A20)</f>
        <v/>
      </c>
      <c r="B59" s="7">
        <f>IF(allocation!B20="","",allocation!B20)</f>
        <v/>
      </c>
      <c r="C59" s="7">
        <f>IF(allocation!C20="","",allocation!C20)</f>
        <v/>
      </c>
      <c r="D59" s="9">
        <f>IF(allocation!D20="","",allocation!D20)</f>
        <v/>
      </c>
      <c r="E59" s="12">
        <f>IF(allocation!E20="","",allocation!E20)</f>
        <v/>
      </c>
      <c r="F59" s="13">
        <f>IF(allocation!F20="","",allocation!F20)</f>
        <v/>
      </c>
      <c r="G59" s="13">
        <f>IF(allocation!G20="","",allocation!G20)</f>
        <v/>
      </c>
      <c r="H59" s="7">
        <f>IF(allocation!H20="","",allocation!H20)</f>
        <v/>
      </c>
      <c r="I59" s="11">
        <f>IF(allocation!I20="","",allocation!I20)</f>
        <v/>
      </c>
      <c r="U59">
        <f>IF(selection!H56=1,selection!M56,NA())</f>
        <v/>
      </c>
      <c r="V59">
        <f>IF(selection!H56=1,selection!N56,NA())</f>
        <v/>
      </c>
      <c r="W59">
        <f>IF(selection!H56=0,selection!M56,NA())</f>
        <v/>
      </c>
      <c r="X59">
        <f>IF(selection!H56=0,selection!N56,NA())</f>
        <v/>
      </c>
    </row>
    <row r="60">
      <c r="A60">
        <f>IF(allocation!A21="","",allocation!A21)</f>
        <v/>
      </c>
      <c r="B60" s="7">
        <f>IF(allocation!B21="","",allocation!B21)</f>
        <v/>
      </c>
      <c r="C60" s="7">
        <f>IF(allocation!C21="","",allocation!C21)</f>
        <v/>
      </c>
      <c r="D60" s="9">
        <f>IF(allocation!D21="","",allocation!D21)</f>
        <v/>
      </c>
      <c r="E60" s="12">
        <f>IF(allocation!E21="","",allocation!E21)</f>
        <v/>
      </c>
      <c r="F60" s="13">
        <f>IF(allocation!F21="","",allocation!F21)</f>
        <v/>
      </c>
      <c r="G60" s="13">
        <f>IF(allocation!G21="","",allocation!G21)</f>
        <v/>
      </c>
      <c r="H60" s="7">
        <f>IF(allocation!H21="","",allocation!H21)</f>
        <v/>
      </c>
      <c r="I60" s="11">
        <f>IF(allocation!I21="","",allocation!I21)</f>
        <v/>
      </c>
      <c r="U60">
        <f>IF(selection!H57=1,selection!M57,NA())</f>
        <v/>
      </c>
      <c r="V60">
        <f>IF(selection!H57=1,selection!N57,NA())</f>
        <v/>
      </c>
      <c r="W60">
        <f>IF(selection!H57=0,selection!M57,NA())</f>
        <v/>
      </c>
      <c r="X60">
        <f>IF(selection!H57=0,selection!N57,NA())</f>
        <v/>
      </c>
    </row>
    <row r="61">
      <c r="A61">
        <f>IF(allocation!A22="","",allocation!A22)</f>
        <v/>
      </c>
      <c r="B61" s="7">
        <f>IF(allocation!B22="","",allocation!B22)</f>
        <v/>
      </c>
      <c r="C61" s="7">
        <f>IF(allocation!C22="","",allocation!C22)</f>
        <v/>
      </c>
      <c r="D61" s="9">
        <f>IF(allocation!D22="","",allocation!D22)</f>
        <v/>
      </c>
      <c r="E61" s="12">
        <f>IF(allocation!E22="","",allocation!E22)</f>
        <v/>
      </c>
      <c r="F61" s="13">
        <f>IF(allocation!F22="","",allocation!F22)</f>
        <v/>
      </c>
      <c r="G61" s="13">
        <f>IF(allocation!G22="","",allocation!G22)</f>
        <v/>
      </c>
      <c r="H61" s="7">
        <f>IF(allocation!H22="","",allocation!H22)</f>
        <v/>
      </c>
      <c r="I61" s="11">
        <f>IF(allocation!I22="","",allocation!I22)</f>
        <v/>
      </c>
      <c r="U61">
        <f>IF(selection!H58=1,selection!M58,NA())</f>
        <v/>
      </c>
      <c r="V61">
        <f>IF(selection!H58=1,selection!N58,NA())</f>
        <v/>
      </c>
      <c r="W61">
        <f>IF(selection!H58=0,selection!M58,NA())</f>
        <v/>
      </c>
      <c r="X61">
        <f>IF(selection!H58=0,selection!N58,NA())</f>
        <v/>
      </c>
    </row>
    <row r="62">
      <c r="A62">
        <f>IF(allocation!A23="","",allocation!A23)</f>
        <v/>
      </c>
      <c r="B62" s="7">
        <f>IF(allocation!B23="","",allocation!B23)</f>
        <v/>
      </c>
      <c r="C62" s="7">
        <f>IF(allocation!C23="","",allocation!C23)</f>
        <v/>
      </c>
      <c r="D62" s="9">
        <f>IF(allocation!D23="","",allocation!D23)</f>
        <v/>
      </c>
      <c r="E62" s="12">
        <f>IF(allocation!E23="","",allocation!E23)</f>
        <v/>
      </c>
      <c r="F62" s="13">
        <f>IF(allocation!F23="","",allocation!F23)</f>
        <v/>
      </c>
      <c r="G62" s="13">
        <f>IF(allocation!G23="","",allocation!G23)</f>
        <v/>
      </c>
      <c r="H62" s="7">
        <f>IF(allocation!H23="","",allocation!H23)</f>
        <v/>
      </c>
      <c r="I62" s="11">
        <f>IF(allocation!I23="","",allocation!I23)</f>
        <v/>
      </c>
      <c r="U62">
        <f>IF(selection!H59=1,selection!M59,NA())</f>
        <v/>
      </c>
      <c r="V62">
        <f>IF(selection!H59=1,selection!N59,NA())</f>
        <v/>
      </c>
      <c r="W62">
        <f>IF(selection!H59=0,selection!M59,NA())</f>
        <v/>
      </c>
      <c r="X62">
        <f>IF(selection!H59=0,selection!N59,NA())</f>
        <v/>
      </c>
    </row>
    <row r="63">
      <c r="A63">
        <f>IF(allocation!A24="","",allocation!A24)</f>
        <v/>
      </c>
      <c r="B63" s="7">
        <f>IF(allocation!B24="","",allocation!B24)</f>
        <v/>
      </c>
      <c r="C63" s="7">
        <f>IF(allocation!C24="","",allocation!C24)</f>
        <v/>
      </c>
      <c r="D63" s="9">
        <f>IF(allocation!D24="","",allocation!D24)</f>
        <v/>
      </c>
      <c r="E63" s="12">
        <f>IF(allocation!E24="","",allocation!E24)</f>
        <v/>
      </c>
      <c r="F63" s="13">
        <f>IF(allocation!F24="","",allocation!F24)</f>
        <v/>
      </c>
      <c r="G63" s="13">
        <f>IF(allocation!G24="","",allocation!G24)</f>
        <v/>
      </c>
      <c r="H63" s="7">
        <f>IF(allocation!H24="","",allocation!H24)</f>
        <v/>
      </c>
      <c r="I63" s="11">
        <f>IF(allocation!I24="","",allocation!I24)</f>
        <v/>
      </c>
      <c r="U63">
        <f>IF(selection!H60=1,selection!M60,NA())</f>
        <v/>
      </c>
      <c r="V63">
        <f>IF(selection!H60=1,selection!N60,NA())</f>
        <v/>
      </c>
      <c r="W63">
        <f>IF(selection!H60=0,selection!M60,NA())</f>
        <v/>
      </c>
      <c r="X63">
        <f>IF(selection!H60=0,selection!N60,NA())</f>
        <v/>
      </c>
    </row>
    <row r="64">
      <c r="A64">
        <f>IF(allocation!A25="","",allocation!A25)</f>
        <v/>
      </c>
      <c r="B64" s="7">
        <f>IF(allocation!B25="","",allocation!B25)</f>
        <v/>
      </c>
      <c r="C64" s="7">
        <f>IF(allocation!C25="","",allocation!C25)</f>
        <v/>
      </c>
      <c r="D64" s="9">
        <f>IF(allocation!D25="","",allocation!D25)</f>
        <v/>
      </c>
      <c r="E64" s="12">
        <f>IF(allocation!E25="","",allocation!E25)</f>
        <v/>
      </c>
      <c r="F64" s="13">
        <f>IF(allocation!F25="","",allocation!F25)</f>
        <v/>
      </c>
      <c r="G64" s="13">
        <f>IF(allocation!G25="","",allocation!G25)</f>
        <v/>
      </c>
      <c r="H64" s="7">
        <f>IF(allocation!H25="","",allocation!H25)</f>
        <v/>
      </c>
      <c r="I64" s="11">
        <f>IF(allocation!I25="","",allocation!I25)</f>
        <v/>
      </c>
      <c r="U64">
        <f>IF(selection!H61=1,selection!M61,NA())</f>
        <v/>
      </c>
      <c r="V64">
        <f>IF(selection!H61=1,selection!N61,NA())</f>
        <v/>
      </c>
      <c r="W64">
        <f>IF(selection!H61=0,selection!M61,NA())</f>
        <v/>
      </c>
      <c r="X64">
        <f>IF(selection!H61=0,selection!N61,NA())</f>
        <v/>
      </c>
    </row>
    <row r="65">
      <c r="A65">
        <f>IF(allocation!A26="","",allocation!A26)</f>
        <v/>
      </c>
      <c r="B65" s="7">
        <f>IF(allocation!B26="","",allocation!B26)</f>
        <v/>
      </c>
      <c r="C65" s="7">
        <f>IF(allocation!C26="","",allocation!C26)</f>
        <v/>
      </c>
      <c r="D65" s="9">
        <f>IF(allocation!D26="","",allocation!D26)</f>
        <v/>
      </c>
      <c r="E65" s="12">
        <f>IF(allocation!E26="","",allocation!E26)</f>
        <v/>
      </c>
      <c r="F65" s="13">
        <f>IF(allocation!F26="","",allocation!F26)</f>
        <v/>
      </c>
      <c r="G65" s="13">
        <f>IF(allocation!G26="","",allocation!G26)</f>
        <v/>
      </c>
      <c r="H65" s="7">
        <f>IF(allocation!H26="","",allocation!H26)</f>
        <v/>
      </c>
      <c r="I65" s="11">
        <f>IF(allocation!I26="","",allocation!I26)</f>
        <v/>
      </c>
      <c r="U65">
        <f>IF(selection!H62=1,selection!M62,NA())</f>
        <v/>
      </c>
      <c r="V65">
        <f>IF(selection!H62=1,selection!N62,NA())</f>
        <v/>
      </c>
      <c r="W65">
        <f>IF(selection!H62=0,selection!M62,NA())</f>
        <v/>
      </c>
      <c r="X65">
        <f>IF(selection!H62=0,selection!N62,NA())</f>
        <v/>
      </c>
    </row>
    <row r="66">
      <c r="A66">
        <f>IF(allocation!A27="","",allocation!A27)</f>
        <v/>
      </c>
      <c r="B66" s="7">
        <f>IF(allocation!B27="","",allocation!B27)</f>
        <v/>
      </c>
      <c r="C66" s="7">
        <f>IF(allocation!C27="","",allocation!C27)</f>
        <v/>
      </c>
      <c r="D66" s="9">
        <f>IF(allocation!D27="","",allocation!D27)</f>
        <v/>
      </c>
      <c r="E66" s="12">
        <f>IF(allocation!E27="","",allocation!E27)</f>
        <v/>
      </c>
      <c r="F66" s="13">
        <f>IF(allocation!F27="","",allocation!F27)</f>
        <v/>
      </c>
      <c r="G66" s="13">
        <f>IF(allocation!G27="","",allocation!G27)</f>
        <v/>
      </c>
      <c r="H66" s="7">
        <f>IF(allocation!H27="","",allocation!H27)</f>
        <v/>
      </c>
      <c r="I66" s="11">
        <f>IF(allocation!I27="","",allocation!I27)</f>
        <v/>
      </c>
      <c r="U66">
        <f>IF(selection!H63=1,selection!M63,NA())</f>
        <v/>
      </c>
      <c r="V66">
        <f>IF(selection!H63=1,selection!N63,NA())</f>
        <v/>
      </c>
      <c r="W66">
        <f>IF(selection!H63=0,selection!M63,NA())</f>
        <v/>
      </c>
      <c r="X66">
        <f>IF(selection!H63=0,selection!N63,NA())</f>
        <v/>
      </c>
    </row>
    <row r="67">
      <c r="A67">
        <f>IF(allocation!A28="","",allocation!A28)</f>
        <v/>
      </c>
      <c r="B67" s="7">
        <f>IF(allocation!B28="","",allocation!B28)</f>
        <v/>
      </c>
      <c r="C67" s="7">
        <f>IF(allocation!C28="","",allocation!C28)</f>
        <v/>
      </c>
      <c r="D67" s="9">
        <f>IF(allocation!D28="","",allocation!D28)</f>
        <v/>
      </c>
      <c r="E67" s="12">
        <f>IF(allocation!E28="","",allocation!E28)</f>
        <v/>
      </c>
      <c r="F67" s="13">
        <f>IF(allocation!F28="","",allocation!F28)</f>
        <v/>
      </c>
      <c r="G67" s="13">
        <f>IF(allocation!G28="","",allocation!G28)</f>
        <v/>
      </c>
      <c r="H67" s="7">
        <f>IF(allocation!H28="","",allocation!H28)</f>
        <v/>
      </c>
      <c r="I67" s="11">
        <f>IF(allocation!I28="","",allocation!I28)</f>
        <v/>
      </c>
      <c r="U67">
        <f>IF(selection!H64=1,selection!M64,NA())</f>
        <v/>
      </c>
      <c r="V67">
        <f>IF(selection!H64=1,selection!N64,NA())</f>
        <v/>
      </c>
      <c r="W67">
        <f>IF(selection!H64=0,selection!M64,NA())</f>
        <v/>
      </c>
      <c r="X67">
        <f>IF(selection!H64=0,selection!N64,NA())</f>
        <v/>
      </c>
    </row>
    <row r="68">
      <c r="A68">
        <f>IF(allocation!A29="","",allocation!A29)</f>
        <v/>
      </c>
      <c r="B68" s="7">
        <f>IF(allocation!B29="","",allocation!B29)</f>
        <v/>
      </c>
      <c r="C68" s="7">
        <f>IF(allocation!C29="","",allocation!C29)</f>
        <v/>
      </c>
      <c r="D68" s="9">
        <f>IF(allocation!D29="","",allocation!D29)</f>
        <v/>
      </c>
      <c r="E68" s="12">
        <f>IF(allocation!E29="","",allocation!E29)</f>
        <v/>
      </c>
      <c r="F68" s="13">
        <f>IF(allocation!F29="","",allocation!F29)</f>
        <v/>
      </c>
      <c r="G68" s="13">
        <f>IF(allocation!G29="","",allocation!G29)</f>
        <v/>
      </c>
      <c r="H68" s="7">
        <f>IF(allocation!H29="","",allocation!H29)</f>
        <v/>
      </c>
      <c r="I68" s="11">
        <f>IF(allocation!I29="","",allocation!I29)</f>
        <v/>
      </c>
      <c r="U68">
        <f>IF(selection!H65=1,selection!M65,NA())</f>
        <v/>
      </c>
      <c r="V68">
        <f>IF(selection!H65=1,selection!N65,NA())</f>
        <v/>
      </c>
      <c r="W68">
        <f>IF(selection!H65=0,selection!M65,NA())</f>
        <v/>
      </c>
      <c r="X68">
        <f>IF(selection!H65=0,selection!N65,NA())</f>
        <v/>
      </c>
    </row>
    <row r="69">
      <c r="A69">
        <f>IF(allocation!A30="","",allocation!A30)</f>
        <v/>
      </c>
      <c r="B69" s="7">
        <f>IF(allocation!B30="","",allocation!B30)</f>
        <v/>
      </c>
      <c r="C69" s="7">
        <f>IF(allocation!C30="","",allocation!C30)</f>
        <v/>
      </c>
      <c r="D69" s="9">
        <f>IF(allocation!D30="","",allocation!D30)</f>
        <v/>
      </c>
      <c r="E69" s="12">
        <f>IF(allocation!E30="","",allocation!E30)</f>
        <v/>
      </c>
      <c r="F69" s="13">
        <f>IF(allocation!F30="","",allocation!F30)</f>
        <v/>
      </c>
      <c r="G69" s="13">
        <f>IF(allocation!G30="","",allocation!G30)</f>
        <v/>
      </c>
      <c r="H69" s="7">
        <f>IF(allocation!H30="","",allocation!H30)</f>
        <v/>
      </c>
      <c r="I69" s="11">
        <f>IF(allocation!I30="","",allocation!I30)</f>
        <v/>
      </c>
      <c r="U69">
        <f>IF(selection!H66=1,selection!M66,NA())</f>
        <v/>
      </c>
      <c r="V69">
        <f>IF(selection!H66=1,selection!N66,NA())</f>
        <v/>
      </c>
      <c r="W69">
        <f>IF(selection!H66=0,selection!M66,NA())</f>
        <v/>
      </c>
      <c r="X69">
        <f>IF(selection!H66=0,selection!N66,NA())</f>
        <v/>
      </c>
    </row>
    <row r="70">
      <c r="A70">
        <f>IF(allocation!A31="","",allocation!A31)</f>
        <v/>
      </c>
      <c r="B70" s="7">
        <f>IF(allocation!B31="","",allocation!B31)</f>
        <v/>
      </c>
      <c r="C70" s="7">
        <f>IF(allocation!C31="","",allocation!C31)</f>
        <v/>
      </c>
      <c r="D70" s="9">
        <f>IF(allocation!D31="","",allocation!D31)</f>
        <v/>
      </c>
      <c r="E70" s="12">
        <f>IF(allocation!E31="","",allocation!E31)</f>
        <v/>
      </c>
      <c r="F70" s="13">
        <f>IF(allocation!F31="","",allocation!F31)</f>
        <v/>
      </c>
      <c r="G70" s="13">
        <f>IF(allocation!G31="","",allocation!G31)</f>
        <v/>
      </c>
      <c r="H70" s="7">
        <f>IF(allocation!H31="","",allocation!H31)</f>
        <v/>
      </c>
      <c r="I70" s="11">
        <f>IF(allocation!I31="","",allocation!I31)</f>
        <v/>
      </c>
      <c r="U70">
        <f>IF(selection!H67=1,selection!M67,NA())</f>
        <v/>
      </c>
      <c r="V70">
        <f>IF(selection!H67=1,selection!N67,NA())</f>
        <v/>
      </c>
      <c r="W70">
        <f>IF(selection!H67=0,selection!M67,NA())</f>
        <v/>
      </c>
      <c r="X70">
        <f>IF(selection!H67=0,selection!N67,NA())</f>
        <v/>
      </c>
    </row>
    <row r="71">
      <c r="A71">
        <f>IF(allocation!A32="","",allocation!A32)</f>
        <v/>
      </c>
      <c r="B71" s="7">
        <f>IF(allocation!B32="","",allocation!B32)</f>
        <v/>
      </c>
      <c r="C71" s="7">
        <f>IF(allocation!C32="","",allocation!C32)</f>
        <v/>
      </c>
      <c r="D71" s="9">
        <f>IF(allocation!D32="","",allocation!D32)</f>
        <v/>
      </c>
      <c r="E71" s="12">
        <f>IF(allocation!E32="","",allocation!E32)</f>
        <v/>
      </c>
      <c r="F71" s="13">
        <f>IF(allocation!F32="","",allocation!F32)</f>
        <v/>
      </c>
      <c r="G71" s="13">
        <f>IF(allocation!G32="","",allocation!G32)</f>
        <v/>
      </c>
      <c r="H71" s="7">
        <f>IF(allocation!H32="","",allocation!H32)</f>
        <v/>
      </c>
      <c r="I71" s="11">
        <f>IF(allocation!I32="","",allocation!I32)</f>
        <v/>
      </c>
      <c r="U71">
        <f>IF(selection!H68=1,selection!M68,NA())</f>
        <v/>
      </c>
      <c r="V71">
        <f>IF(selection!H68=1,selection!N68,NA())</f>
        <v/>
      </c>
      <c r="W71">
        <f>IF(selection!H68=0,selection!M68,NA())</f>
        <v/>
      </c>
      <c r="X71">
        <f>IF(selection!H68=0,selection!N68,NA())</f>
        <v/>
      </c>
    </row>
    <row r="72">
      <c r="A72">
        <f>IF(allocation!A33="","",allocation!A33)</f>
        <v/>
      </c>
      <c r="B72" s="7">
        <f>IF(allocation!B33="","",allocation!B33)</f>
        <v/>
      </c>
      <c r="C72" s="7">
        <f>IF(allocation!C33="","",allocation!C33)</f>
        <v/>
      </c>
      <c r="D72" s="9">
        <f>IF(allocation!D33="","",allocation!D33)</f>
        <v/>
      </c>
      <c r="E72" s="12">
        <f>IF(allocation!E33="","",allocation!E33)</f>
        <v/>
      </c>
      <c r="F72" s="13">
        <f>IF(allocation!F33="","",allocation!F33)</f>
        <v/>
      </c>
      <c r="G72" s="13">
        <f>IF(allocation!G33="","",allocation!G33)</f>
        <v/>
      </c>
      <c r="H72" s="7">
        <f>IF(allocation!H33="","",allocation!H33)</f>
        <v/>
      </c>
      <c r="I72" s="11">
        <f>IF(allocation!I33="","",allocation!I33)</f>
        <v/>
      </c>
      <c r="U72">
        <f>IF(selection!H69=1,selection!M69,NA())</f>
        <v/>
      </c>
      <c r="V72">
        <f>IF(selection!H69=1,selection!N69,NA())</f>
        <v/>
      </c>
      <c r="W72">
        <f>IF(selection!H69=0,selection!M69,NA())</f>
        <v/>
      </c>
      <c r="X72">
        <f>IF(selection!H69=0,selection!N69,NA())</f>
        <v/>
      </c>
    </row>
    <row r="73">
      <c r="A73">
        <f>IF(allocation!A34="","",allocation!A34)</f>
        <v/>
      </c>
      <c r="B73" s="7">
        <f>IF(allocation!B34="","",allocation!B34)</f>
        <v/>
      </c>
      <c r="C73" s="7">
        <f>IF(allocation!C34="","",allocation!C34)</f>
        <v/>
      </c>
      <c r="D73" s="9">
        <f>IF(allocation!D34="","",allocation!D34)</f>
        <v/>
      </c>
      <c r="E73" s="12">
        <f>IF(allocation!E34="","",allocation!E34)</f>
        <v/>
      </c>
      <c r="F73" s="13">
        <f>IF(allocation!F34="","",allocation!F34)</f>
        <v/>
      </c>
      <c r="G73" s="13">
        <f>IF(allocation!G34="","",allocation!G34)</f>
        <v/>
      </c>
      <c r="H73" s="7">
        <f>IF(allocation!H34="","",allocation!H34)</f>
        <v/>
      </c>
      <c r="I73" s="11">
        <f>IF(allocation!I34="","",allocation!I34)</f>
        <v/>
      </c>
      <c r="U73">
        <f>IF(selection!H70=1,selection!M70,NA())</f>
        <v/>
      </c>
      <c r="V73">
        <f>IF(selection!H70=1,selection!N70,NA())</f>
        <v/>
      </c>
      <c r="W73">
        <f>IF(selection!H70=0,selection!M70,NA())</f>
        <v/>
      </c>
      <c r="X73">
        <f>IF(selection!H70=0,selection!N70,NA())</f>
        <v/>
      </c>
    </row>
    <row r="74">
      <c r="A74">
        <f>IF(allocation!A35="","",allocation!A35)</f>
        <v/>
      </c>
      <c r="B74" s="7">
        <f>IF(allocation!B35="","",allocation!B35)</f>
        <v/>
      </c>
      <c r="C74" s="7">
        <f>IF(allocation!C35="","",allocation!C35)</f>
        <v/>
      </c>
      <c r="D74" s="9">
        <f>IF(allocation!D35="","",allocation!D35)</f>
        <v/>
      </c>
      <c r="E74" s="12">
        <f>IF(allocation!E35="","",allocation!E35)</f>
        <v/>
      </c>
      <c r="F74" s="13">
        <f>IF(allocation!F35="","",allocation!F35)</f>
        <v/>
      </c>
      <c r="G74" s="13">
        <f>IF(allocation!G35="","",allocation!G35)</f>
        <v/>
      </c>
      <c r="H74" s="7">
        <f>IF(allocation!H35="","",allocation!H35)</f>
        <v/>
      </c>
      <c r="I74" s="11">
        <f>IF(allocation!I35="","",allocation!I35)</f>
        <v/>
      </c>
      <c r="U74">
        <f>IF(selection!H71=1,selection!M71,NA())</f>
        <v/>
      </c>
      <c r="V74">
        <f>IF(selection!H71=1,selection!N71,NA())</f>
        <v/>
      </c>
      <c r="W74">
        <f>IF(selection!H71=0,selection!M71,NA())</f>
        <v/>
      </c>
      <c r="X74">
        <f>IF(selection!H71=0,selection!N71,NA())</f>
        <v/>
      </c>
    </row>
    <row r="75">
      <c r="A75">
        <f>IF(allocation!A36="","",allocation!A36)</f>
        <v/>
      </c>
      <c r="B75" s="7">
        <f>IF(allocation!B36="","",allocation!B36)</f>
        <v/>
      </c>
      <c r="C75" s="7">
        <f>IF(allocation!C36="","",allocation!C36)</f>
        <v/>
      </c>
      <c r="D75" s="9">
        <f>IF(allocation!D36="","",allocation!D36)</f>
        <v/>
      </c>
      <c r="E75" s="12">
        <f>IF(allocation!E36="","",allocation!E36)</f>
        <v/>
      </c>
      <c r="F75" s="13">
        <f>IF(allocation!F36="","",allocation!F36)</f>
        <v/>
      </c>
      <c r="G75" s="13">
        <f>IF(allocation!G36="","",allocation!G36)</f>
        <v/>
      </c>
      <c r="H75" s="7">
        <f>IF(allocation!H36="","",allocation!H36)</f>
        <v/>
      </c>
      <c r="I75" s="11">
        <f>IF(allocation!I36="","",allocation!I36)</f>
        <v/>
      </c>
      <c r="U75">
        <f>IF(selection!H72=1,selection!M72,NA())</f>
        <v/>
      </c>
      <c r="V75">
        <f>IF(selection!H72=1,selection!N72,NA())</f>
        <v/>
      </c>
      <c r="W75">
        <f>IF(selection!H72=0,selection!M72,NA())</f>
        <v/>
      </c>
      <c r="X75">
        <f>IF(selection!H72=0,selection!N72,NA())</f>
        <v/>
      </c>
    </row>
    <row r="76">
      <c r="A76">
        <f>IF(allocation!A37="","",allocation!A37)</f>
        <v/>
      </c>
      <c r="B76" s="7">
        <f>IF(allocation!B37="","",allocation!B37)</f>
        <v/>
      </c>
      <c r="C76" s="7">
        <f>IF(allocation!C37="","",allocation!C37)</f>
        <v/>
      </c>
      <c r="D76" s="9">
        <f>IF(allocation!D37="","",allocation!D37)</f>
        <v/>
      </c>
      <c r="E76" s="12">
        <f>IF(allocation!E37="","",allocation!E37)</f>
        <v/>
      </c>
      <c r="F76" s="13">
        <f>IF(allocation!F37="","",allocation!F37)</f>
        <v/>
      </c>
      <c r="G76" s="13">
        <f>IF(allocation!G37="","",allocation!G37)</f>
        <v/>
      </c>
      <c r="H76" s="7">
        <f>IF(allocation!H37="","",allocation!H37)</f>
        <v/>
      </c>
      <c r="I76" s="11">
        <f>IF(allocation!I37="","",allocation!I37)</f>
        <v/>
      </c>
      <c r="U76">
        <f>IF(selection!H73=1,selection!M73,NA())</f>
        <v/>
      </c>
      <c r="V76">
        <f>IF(selection!H73=1,selection!N73,NA())</f>
        <v/>
      </c>
      <c r="W76">
        <f>IF(selection!H73=0,selection!M73,NA())</f>
        <v/>
      </c>
      <c r="X76">
        <f>IF(selection!H73=0,selection!N73,NA())</f>
        <v/>
      </c>
    </row>
    <row r="77">
      <c r="A77">
        <f>IF(allocation!A38="","",allocation!A38)</f>
        <v/>
      </c>
      <c r="B77" s="7">
        <f>IF(allocation!B38="","",allocation!B38)</f>
        <v/>
      </c>
      <c r="C77" s="7">
        <f>IF(allocation!C38="","",allocation!C38)</f>
        <v/>
      </c>
      <c r="D77" s="9">
        <f>IF(allocation!D38="","",allocation!D38)</f>
        <v/>
      </c>
      <c r="E77" s="12">
        <f>IF(allocation!E38="","",allocation!E38)</f>
        <v/>
      </c>
      <c r="F77" s="13">
        <f>IF(allocation!F38="","",allocation!F38)</f>
        <v/>
      </c>
      <c r="G77" s="13">
        <f>IF(allocation!G38="","",allocation!G38)</f>
        <v/>
      </c>
      <c r="H77" s="7">
        <f>IF(allocation!H38="","",allocation!H38)</f>
        <v/>
      </c>
      <c r="I77" s="11">
        <f>IF(allocation!I38="","",allocation!I38)</f>
        <v/>
      </c>
      <c r="U77">
        <f>IF(selection!H74=1,selection!M74,NA())</f>
        <v/>
      </c>
      <c r="V77">
        <f>IF(selection!H74=1,selection!N74,NA())</f>
        <v/>
      </c>
      <c r="W77">
        <f>IF(selection!H74=0,selection!M74,NA())</f>
        <v/>
      </c>
      <c r="X77">
        <f>IF(selection!H74=0,selection!N74,NA())</f>
        <v/>
      </c>
    </row>
    <row r="78">
      <c r="A78">
        <f>IF(allocation!A39="","",allocation!A39)</f>
        <v/>
      </c>
      <c r="B78" s="7">
        <f>IF(allocation!B39="","",allocation!B39)</f>
        <v/>
      </c>
      <c r="C78" s="7">
        <f>IF(allocation!C39="","",allocation!C39)</f>
        <v/>
      </c>
      <c r="D78" s="9">
        <f>IF(allocation!D39="","",allocation!D39)</f>
        <v/>
      </c>
      <c r="E78" s="12">
        <f>IF(allocation!E39="","",allocation!E39)</f>
        <v/>
      </c>
      <c r="F78" s="13">
        <f>IF(allocation!F39="","",allocation!F39)</f>
        <v/>
      </c>
      <c r="G78" s="13">
        <f>IF(allocation!G39="","",allocation!G39)</f>
        <v/>
      </c>
      <c r="H78" s="7">
        <f>IF(allocation!H39="","",allocation!H39)</f>
        <v/>
      </c>
      <c r="I78" s="11">
        <f>IF(allocation!I39="","",allocation!I39)</f>
        <v/>
      </c>
      <c r="U78">
        <f>IF(selection!H75=1,selection!M75,NA())</f>
        <v/>
      </c>
      <c r="V78">
        <f>IF(selection!H75=1,selection!N75,NA())</f>
        <v/>
      </c>
      <c r="W78">
        <f>IF(selection!H75=0,selection!M75,NA())</f>
        <v/>
      </c>
      <c r="X78">
        <f>IF(selection!H75=0,selection!N75,NA())</f>
        <v/>
      </c>
    </row>
    <row r="79">
      <c r="A79">
        <f>IF(allocation!A40="","",allocation!A40)</f>
        <v/>
      </c>
      <c r="B79" s="7">
        <f>IF(allocation!B40="","",allocation!B40)</f>
        <v/>
      </c>
      <c r="C79" s="7">
        <f>IF(allocation!C40="","",allocation!C40)</f>
        <v/>
      </c>
      <c r="D79" s="9">
        <f>IF(allocation!D40="","",allocation!D40)</f>
        <v/>
      </c>
      <c r="E79" s="12">
        <f>IF(allocation!E40="","",allocation!E40)</f>
        <v/>
      </c>
      <c r="F79" s="13">
        <f>IF(allocation!F40="","",allocation!F40)</f>
        <v/>
      </c>
      <c r="G79" s="13">
        <f>IF(allocation!G40="","",allocation!G40)</f>
        <v/>
      </c>
      <c r="H79" s="7">
        <f>IF(allocation!H40="","",allocation!H40)</f>
        <v/>
      </c>
      <c r="I79" s="11">
        <f>IF(allocation!I40="","",allocation!I40)</f>
        <v/>
      </c>
      <c r="U79">
        <f>IF(selection!H76=1,selection!M76,NA())</f>
        <v/>
      </c>
      <c r="V79">
        <f>IF(selection!H76=1,selection!N76,NA())</f>
        <v/>
      </c>
      <c r="W79">
        <f>IF(selection!H76=0,selection!M76,NA())</f>
        <v/>
      </c>
      <c r="X79">
        <f>IF(selection!H76=0,selection!N76,NA())</f>
        <v/>
      </c>
    </row>
    <row r="80">
      <c r="A80">
        <f>IF(allocation!A41="","",allocation!A41)</f>
        <v/>
      </c>
      <c r="B80" s="7">
        <f>IF(allocation!B41="","",allocation!B41)</f>
        <v/>
      </c>
      <c r="C80" s="7">
        <f>IF(allocation!C41="","",allocation!C41)</f>
        <v/>
      </c>
      <c r="D80" s="9">
        <f>IF(allocation!D41="","",allocation!D41)</f>
        <v/>
      </c>
      <c r="E80" s="12">
        <f>IF(allocation!E41="","",allocation!E41)</f>
        <v/>
      </c>
      <c r="F80" s="13">
        <f>IF(allocation!F41="","",allocation!F41)</f>
        <v/>
      </c>
      <c r="G80" s="13">
        <f>IF(allocation!G41="","",allocation!G41)</f>
        <v/>
      </c>
      <c r="H80" s="7">
        <f>IF(allocation!H41="","",allocation!H41)</f>
        <v/>
      </c>
      <c r="I80" s="11">
        <f>IF(allocation!I41="","",allocation!I41)</f>
        <v/>
      </c>
      <c r="U80">
        <f>IF(selection!H77=1,selection!M77,NA())</f>
        <v/>
      </c>
      <c r="V80">
        <f>IF(selection!H77=1,selection!N77,NA())</f>
        <v/>
      </c>
      <c r="W80">
        <f>IF(selection!H77=0,selection!M77,NA())</f>
        <v/>
      </c>
      <c r="X80">
        <f>IF(selection!H77=0,selection!N77,NA())</f>
        <v/>
      </c>
    </row>
    <row r="81">
      <c r="U81">
        <f>IF(selection!H78=1,selection!M78,NA())</f>
        <v/>
      </c>
      <c r="V81">
        <f>IF(selection!H78=1,selection!N78,NA())</f>
        <v/>
      </c>
      <c r="W81">
        <f>IF(selection!H78=0,selection!M78,NA())</f>
        <v/>
      </c>
      <c r="X81">
        <f>IF(selection!H78=0,selection!N78,NA())</f>
        <v/>
      </c>
    </row>
    <row r="82">
      <c r="A82" s="3" t="inlineStr">
        <is>
          <t>Draw by stratum (draw_summary.csv)</t>
        </is>
      </c>
      <c r="U82">
        <f>IF(selection!H79=1,selection!M79,NA())</f>
        <v/>
      </c>
      <c r="V82">
        <f>IF(selection!H79=1,selection!N79,NA())</f>
        <v/>
      </c>
      <c r="W82">
        <f>IF(selection!H79=0,selection!M79,NA())</f>
        <v/>
      </c>
      <c r="X82">
        <f>IF(selection!H79=0,selection!N79,NA())</f>
        <v/>
      </c>
    </row>
    <row r="83">
      <c r="A83" s="6" t="inlineStr">
        <is>
          <t>stratum</t>
        </is>
      </c>
      <c r="B83" s="6" t="inlineStr">
        <is>
          <t>n_units</t>
        </is>
      </c>
      <c r="C83" s="6" t="inlineStr">
        <is>
          <t>n_selected</t>
        </is>
      </c>
      <c r="D83" s="6" t="inlineStr">
        <is>
          <t>n_reserve</t>
        </is>
      </c>
      <c r="E83" s="6" t="inlineStr">
        <is>
          <t>prob_min</t>
        </is>
      </c>
      <c r="F83" s="6" t="inlineStr">
        <is>
          <t>prob_max</t>
        </is>
      </c>
      <c r="G83" s="6" t="inlineStr">
        <is>
          <t>interval</t>
        </is>
      </c>
      <c r="H83" s="6" t="inlineStr">
        <is>
          <t>random_start</t>
        </is>
      </c>
      <c r="U83">
        <f>IF(selection!H80=1,selection!M80,NA())</f>
        <v/>
      </c>
      <c r="V83">
        <f>IF(selection!H80=1,selection!N80,NA())</f>
        <v/>
      </c>
      <c r="W83">
        <f>IF(selection!H80=0,selection!M80,NA())</f>
        <v/>
      </c>
      <c r="X83">
        <f>IF(selection!H80=0,selection!N80,NA())</f>
        <v/>
      </c>
    </row>
    <row r="84">
      <c r="A84">
        <f>IF(draw_summary!A2="","",draw_summary!A2)</f>
        <v/>
      </c>
      <c r="B84" s="7">
        <f>IF(draw_summary!B2="","",draw_summary!B2)</f>
        <v/>
      </c>
      <c r="C84" s="7">
        <f>IF(draw_summary!C2="","",draw_summary!C2)</f>
        <v/>
      </c>
      <c r="D84" s="7">
        <f>IF(draw_summary!D2="","",draw_summary!D2)</f>
        <v/>
      </c>
      <c r="E84" s="11">
        <f>IF(draw_summary!E2="","",draw_summary!E2)</f>
        <v/>
      </c>
      <c r="F84" s="11">
        <f>IF(draw_summary!F2="","",draw_summary!F2)</f>
        <v/>
      </c>
      <c r="G84" s="14">
        <f>IF(draw_summary!G2="","",draw_summary!G2)</f>
        <v/>
      </c>
      <c r="H84" s="14">
        <f>IF(draw_summary!H2="","",draw_summary!H2)</f>
        <v/>
      </c>
      <c r="U84">
        <f>IF(selection!H81=1,selection!M81,NA())</f>
        <v/>
      </c>
      <c r="V84">
        <f>IF(selection!H81=1,selection!N81,NA())</f>
        <v/>
      </c>
      <c r="W84">
        <f>IF(selection!H81=0,selection!M81,NA())</f>
        <v/>
      </c>
      <c r="X84">
        <f>IF(selection!H81=0,selection!N81,NA())</f>
        <v/>
      </c>
    </row>
    <row r="85">
      <c r="A85">
        <f>IF(draw_summary!A3="","",draw_summary!A3)</f>
        <v/>
      </c>
      <c r="B85" s="7">
        <f>IF(draw_summary!B3="","",draw_summary!B3)</f>
        <v/>
      </c>
      <c r="C85" s="7">
        <f>IF(draw_summary!C3="","",draw_summary!C3)</f>
        <v/>
      </c>
      <c r="D85" s="7">
        <f>IF(draw_summary!D3="","",draw_summary!D3)</f>
        <v/>
      </c>
      <c r="E85" s="11">
        <f>IF(draw_summary!E3="","",draw_summary!E3)</f>
        <v/>
      </c>
      <c r="F85" s="11">
        <f>IF(draw_summary!F3="","",draw_summary!F3)</f>
        <v/>
      </c>
      <c r="G85" s="14">
        <f>IF(draw_summary!G3="","",draw_summary!G3)</f>
        <v/>
      </c>
      <c r="H85" s="14">
        <f>IF(draw_summary!H3="","",draw_summary!H3)</f>
        <v/>
      </c>
      <c r="U85">
        <f>IF(selection!H82=1,selection!M82,NA())</f>
        <v/>
      </c>
      <c r="V85">
        <f>IF(selection!H82=1,selection!N82,NA())</f>
        <v/>
      </c>
      <c r="W85">
        <f>IF(selection!H82=0,selection!M82,NA())</f>
        <v/>
      </c>
      <c r="X85">
        <f>IF(selection!H82=0,selection!N82,NA())</f>
        <v/>
      </c>
    </row>
    <row r="86">
      <c r="A86">
        <f>IF(draw_summary!A4="","",draw_summary!A4)</f>
        <v/>
      </c>
      <c r="B86" s="7">
        <f>IF(draw_summary!B4="","",draw_summary!B4)</f>
        <v/>
      </c>
      <c r="C86" s="7">
        <f>IF(draw_summary!C4="","",draw_summary!C4)</f>
        <v/>
      </c>
      <c r="D86" s="7">
        <f>IF(draw_summary!D4="","",draw_summary!D4)</f>
        <v/>
      </c>
      <c r="E86" s="11">
        <f>IF(draw_summary!E4="","",draw_summary!E4)</f>
        <v/>
      </c>
      <c r="F86" s="11">
        <f>IF(draw_summary!F4="","",draw_summary!F4)</f>
        <v/>
      </c>
      <c r="G86" s="14">
        <f>IF(draw_summary!G4="","",draw_summary!G4)</f>
        <v/>
      </c>
      <c r="H86" s="14">
        <f>IF(draw_summary!H4="","",draw_summary!H4)</f>
        <v/>
      </c>
      <c r="U86">
        <f>IF(selection!H83=1,selection!M83,NA())</f>
        <v/>
      </c>
      <c r="V86">
        <f>IF(selection!H83=1,selection!N83,NA())</f>
        <v/>
      </c>
      <c r="W86">
        <f>IF(selection!H83=0,selection!M83,NA())</f>
        <v/>
      </c>
      <c r="X86">
        <f>IF(selection!H83=0,selection!N83,NA())</f>
        <v/>
      </c>
    </row>
    <row r="87">
      <c r="A87">
        <f>IF(draw_summary!A5="","",draw_summary!A5)</f>
        <v/>
      </c>
      <c r="B87" s="7">
        <f>IF(draw_summary!B5="","",draw_summary!B5)</f>
        <v/>
      </c>
      <c r="C87" s="7">
        <f>IF(draw_summary!C5="","",draw_summary!C5)</f>
        <v/>
      </c>
      <c r="D87" s="7">
        <f>IF(draw_summary!D5="","",draw_summary!D5)</f>
        <v/>
      </c>
      <c r="E87" s="11">
        <f>IF(draw_summary!E5="","",draw_summary!E5)</f>
        <v/>
      </c>
      <c r="F87" s="11">
        <f>IF(draw_summary!F5="","",draw_summary!F5)</f>
        <v/>
      </c>
      <c r="G87" s="14">
        <f>IF(draw_summary!G5="","",draw_summary!G5)</f>
        <v/>
      </c>
      <c r="H87" s="14">
        <f>IF(draw_summary!H5="","",draw_summary!H5)</f>
        <v/>
      </c>
      <c r="U87">
        <f>IF(selection!H84=1,selection!M84,NA())</f>
        <v/>
      </c>
      <c r="V87">
        <f>IF(selection!H84=1,selection!N84,NA())</f>
        <v/>
      </c>
      <c r="W87">
        <f>IF(selection!H84=0,selection!M84,NA())</f>
        <v/>
      </c>
      <c r="X87">
        <f>IF(selection!H84=0,selection!N84,NA())</f>
        <v/>
      </c>
    </row>
    <row r="88">
      <c r="A88">
        <f>IF(draw_summary!A6="","",draw_summary!A6)</f>
        <v/>
      </c>
      <c r="B88" s="7">
        <f>IF(draw_summary!B6="","",draw_summary!B6)</f>
        <v/>
      </c>
      <c r="C88" s="7">
        <f>IF(draw_summary!C6="","",draw_summary!C6)</f>
        <v/>
      </c>
      <c r="D88" s="7">
        <f>IF(draw_summary!D6="","",draw_summary!D6)</f>
        <v/>
      </c>
      <c r="E88" s="11">
        <f>IF(draw_summary!E6="","",draw_summary!E6)</f>
        <v/>
      </c>
      <c r="F88" s="11">
        <f>IF(draw_summary!F6="","",draw_summary!F6)</f>
        <v/>
      </c>
      <c r="G88" s="14">
        <f>IF(draw_summary!G6="","",draw_summary!G6)</f>
        <v/>
      </c>
      <c r="H88" s="14">
        <f>IF(draw_summary!H6="","",draw_summary!H6)</f>
        <v/>
      </c>
      <c r="U88">
        <f>IF(selection!H85=1,selection!M85,NA())</f>
        <v/>
      </c>
      <c r="V88">
        <f>IF(selection!H85=1,selection!N85,NA())</f>
        <v/>
      </c>
      <c r="W88">
        <f>IF(selection!H85=0,selection!M85,NA())</f>
        <v/>
      </c>
      <c r="X88">
        <f>IF(selection!H85=0,selection!N85,NA())</f>
        <v/>
      </c>
    </row>
    <row r="89">
      <c r="A89">
        <f>IF(draw_summary!A7="","",draw_summary!A7)</f>
        <v/>
      </c>
      <c r="B89" s="7">
        <f>IF(draw_summary!B7="","",draw_summary!B7)</f>
        <v/>
      </c>
      <c r="C89" s="7">
        <f>IF(draw_summary!C7="","",draw_summary!C7)</f>
        <v/>
      </c>
      <c r="D89" s="7">
        <f>IF(draw_summary!D7="","",draw_summary!D7)</f>
        <v/>
      </c>
      <c r="E89" s="11">
        <f>IF(draw_summary!E7="","",draw_summary!E7)</f>
        <v/>
      </c>
      <c r="F89" s="11">
        <f>IF(draw_summary!F7="","",draw_summary!F7)</f>
        <v/>
      </c>
      <c r="G89" s="14">
        <f>IF(draw_summary!G7="","",draw_summary!G7)</f>
        <v/>
      </c>
      <c r="H89" s="14">
        <f>IF(draw_summary!H7="","",draw_summary!H7)</f>
        <v/>
      </c>
      <c r="U89">
        <f>IF(selection!H86=1,selection!M86,NA())</f>
        <v/>
      </c>
      <c r="V89">
        <f>IF(selection!H86=1,selection!N86,NA())</f>
        <v/>
      </c>
      <c r="W89">
        <f>IF(selection!H86=0,selection!M86,NA())</f>
        <v/>
      </c>
      <c r="X89">
        <f>IF(selection!H86=0,selection!N86,NA())</f>
        <v/>
      </c>
    </row>
    <row r="90">
      <c r="A90">
        <f>IF(draw_summary!A8="","",draw_summary!A8)</f>
        <v/>
      </c>
      <c r="B90" s="7">
        <f>IF(draw_summary!B8="","",draw_summary!B8)</f>
        <v/>
      </c>
      <c r="C90" s="7">
        <f>IF(draw_summary!C8="","",draw_summary!C8)</f>
        <v/>
      </c>
      <c r="D90" s="7">
        <f>IF(draw_summary!D8="","",draw_summary!D8)</f>
        <v/>
      </c>
      <c r="E90" s="11">
        <f>IF(draw_summary!E8="","",draw_summary!E8)</f>
        <v/>
      </c>
      <c r="F90" s="11">
        <f>IF(draw_summary!F8="","",draw_summary!F8)</f>
        <v/>
      </c>
      <c r="G90" s="14">
        <f>IF(draw_summary!G8="","",draw_summary!G8)</f>
        <v/>
      </c>
      <c r="H90" s="14">
        <f>IF(draw_summary!H8="","",draw_summary!H8)</f>
        <v/>
      </c>
      <c r="U90">
        <f>IF(selection!H87=1,selection!M87,NA())</f>
        <v/>
      </c>
      <c r="V90">
        <f>IF(selection!H87=1,selection!N87,NA())</f>
        <v/>
      </c>
      <c r="W90">
        <f>IF(selection!H87=0,selection!M87,NA())</f>
        <v/>
      </c>
      <c r="X90">
        <f>IF(selection!H87=0,selection!N87,NA())</f>
        <v/>
      </c>
    </row>
    <row r="91">
      <c r="A91">
        <f>IF(draw_summary!A9="","",draw_summary!A9)</f>
        <v/>
      </c>
      <c r="B91" s="7">
        <f>IF(draw_summary!B9="","",draw_summary!B9)</f>
        <v/>
      </c>
      <c r="C91" s="7">
        <f>IF(draw_summary!C9="","",draw_summary!C9)</f>
        <v/>
      </c>
      <c r="D91" s="7">
        <f>IF(draw_summary!D9="","",draw_summary!D9)</f>
        <v/>
      </c>
      <c r="E91" s="11">
        <f>IF(draw_summary!E9="","",draw_summary!E9)</f>
        <v/>
      </c>
      <c r="F91" s="11">
        <f>IF(draw_summary!F9="","",draw_summary!F9)</f>
        <v/>
      </c>
      <c r="G91" s="14">
        <f>IF(draw_summary!G9="","",draw_summary!G9)</f>
        <v/>
      </c>
      <c r="H91" s="14">
        <f>IF(draw_summary!H9="","",draw_summary!H9)</f>
        <v/>
      </c>
      <c r="U91">
        <f>IF(selection!H88=1,selection!M88,NA())</f>
        <v/>
      </c>
      <c r="V91">
        <f>IF(selection!H88=1,selection!N88,NA())</f>
        <v/>
      </c>
      <c r="W91">
        <f>IF(selection!H88=0,selection!M88,NA())</f>
        <v/>
      </c>
      <c r="X91">
        <f>IF(selection!H88=0,selection!N88,NA())</f>
        <v/>
      </c>
    </row>
    <row r="92">
      <c r="A92">
        <f>IF(draw_summary!A10="","",draw_summary!A10)</f>
        <v/>
      </c>
      <c r="B92" s="7">
        <f>IF(draw_summary!B10="","",draw_summary!B10)</f>
        <v/>
      </c>
      <c r="C92" s="7">
        <f>IF(draw_summary!C10="","",draw_summary!C10)</f>
        <v/>
      </c>
      <c r="D92" s="7">
        <f>IF(draw_summary!D10="","",draw_summary!D10)</f>
        <v/>
      </c>
      <c r="E92" s="11">
        <f>IF(draw_summary!E10="","",draw_summary!E10)</f>
        <v/>
      </c>
      <c r="F92" s="11">
        <f>IF(draw_summary!F10="","",draw_summary!F10)</f>
        <v/>
      </c>
      <c r="G92" s="14">
        <f>IF(draw_summary!G10="","",draw_summary!G10)</f>
        <v/>
      </c>
      <c r="H92" s="14">
        <f>IF(draw_summary!H10="","",draw_summary!H10)</f>
        <v/>
      </c>
      <c r="U92">
        <f>IF(selection!H89=1,selection!M89,NA())</f>
        <v/>
      </c>
      <c r="V92">
        <f>IF(selection!H89=1,selection!N89,NA())</f>
        <v/>
      </c>
      <c r="W92">
        <f>IF(selection!H89=0,selection!M89,NA())</f>
        <v/>
      </c>
      <c r="X92">
        <f>IF(selection!H89=0,selection!N89,NA())</f>
        <v/>
      </c>
    </row>
    <row r="93">
      <c r="A93">
        <f>IF(draw_summary!A11="","",draw_summary!A11)</f>
        <v/>
      </c>
      <c r="B93" s="7">
        <f>IF(draw_summary!B11="","",draw_summary!B11)</f>
        <v/>
      </c>
      <c r="C93" s="7">
        <f>IF(draw_summary!C11="","",draw_summary!C11)</f>
        <v/>
      </c>
      <c r="D93" s="7">
        <f>IF(draw_summary!D11="","",draw_summary!D11)</f>
        <v/>
      </c>
      <c r="E93" s="11">
        <f>IF(draw_summary!E11="","",draw_summary!E11)</f>
        <v/>
      </c>
      <c r="F93" s="11">
        <f>IF(draw_summary!F11="","",draw_summary!F11)</f>
        <v/>
      </c>
      <c r="G93" s="14">
        <f>IF(draw_summary!G11="","",draw_summary!G11)</f>
        <v/>
      </c>
      <c r="H93" s="14">
        <f>IF(draw_summary!H11="","",draw_summary!H11)</f>
        <v/>
      </c>
      <c r="U93">
        <f>IF(selection!H90=1,selection!M90,NA())</f>
        <v/>
      </c>
      <c r="V93">
        <f>IF(selection!H90=1,selection!N90,NA())</f>
        <v/>
      </c>
      <c r="W93">
        <f>IF(selection!H90=0,selection!M90,NA())</f>
        <v/>
      </c>
      <c r="X93">
        <f>IF(selection!H90=0,selection!N90,NA())</f>
        <v/>
      </c>
    </row>
    <row r="94">
      <c r="A94">
        <f>IF(draw_summary!A12="","",draw_summary!A12)</f>
        <v/>
      </c>
      <c r="B94" s="7">
        <f>IF(draw_summary!B12="","",draw_summary!B12)</f>
        <v/>
      </c>
      <c r="C94" s="7">
        <f>IF(draw_summary!C12="","",draw_summary!C12)</f>
        <v/>
      </c>
      <c r="D94" s="7">
        <f>IF(draw_summary!D12="","",draw_summary!D12)</f>
        <v/>
      </c>
      <c r="E94" s="11">
        <f>IF(draw_summary!E12="","",draw_summary!E12)</f>
        <v/>
      </c>
      <c r="F94" s="11">
        <f>IF(draw_summary!F12="","",draw_summary!F12)</f>
        <v/>
      </c>
      <c r="G94" s="14">
        <f>IF(draw_summary!G12="","",draw_summary!G12)</f>
        <v/>
      </c>
      <c r="H94" s="14">
        <f>IF(draw_summary!H12="","",draw_summary!H12)</f>
        <v/>
      </c>
      <c r="U94">
        <f>IF(selection!H91=1,selection!M91,NA())</f>
        <v/>
      </c>
      <c r="V94">
        <f>IF(selection!H91=1,selection!N91,NA())</f>
        <v/>
      </c>
      <c r="W94">
        <f>IF(selection!H91=0,selection!M91,NA())</f>
        <v/>
      </c>
      <c r="X94">
        <f>IF(selection!H91=0,selection!N91,NA())</f>
        <v/>
      </c>
    </row>
    <row r="95">
      <c r="A95">
        <f>IF(draw_summary!A13="","",draw_summary!A13)</f>
        <v/>
      </c>
      <c r="B95" s="7">
        <f>IF(draw_summary!B13="","",draw_summary!B13)</f>
        <v/>
      </c>
      <c r="C95" s="7">
        <f>IF(draw_summary!C13="","",draw_summary!C13)</f>
        <v/>
      </c>
      <c r="D95" s="7">
        <f>IF(draw_summary!D13="","",draw_summary!D13)</f>
        <v/>
      </c>
      <c r="E95" s="11">
        <f>IF(draw_summary!E13="","",draw_summary!E13)</f>
        <v/>
      </c>
      <c r="F95" s="11">
        <f>IF(draw_summary!F13="","",draw_summary!F13)</f>
        <v/>
      </c>
      <c r="G95" s="14">
        <f>IF(draw_summary!G13="","",draw_summary!G13)</f>
        <v/>
      </c>
      <c r="H95" s="14">
        <f>IF(draw_summary!H13="","",draw_summary!H13)</f>
        <v/>
      </c>
      <c r="U95">
        <f>IF(selection!H92=1,selection!M92,NA())</f>
        <v/>
      </c>
      <c r="V95">
        <f>IF(selection!H92=1,selection!N92,NA())</f>
        <v/>
      </c>
      <c r="W95">
        <f>IF(selection!H92=0,selection!M92,NA())</f>
        <v/>
      </c>
      <c r="X95">
        <f>IF(selection!H92=0,selection!N92,NA())</f>
        <v/>
      </c>
    </row>
    <row r="96">
      <c r="A96">
        <f>IF(draw_summary!A14="","",draw_summary!A14)</f>
        <v/>
      </c>
      <c r="B96" s="7">
        <f>IF(draw_summary!B14="","",draw_summary!B14)</f>
        <v/>
      </c>
      <c r="C96" s="7">
        <f>IF(draw_summary!C14="","",draw_summary!C14)</f>
        <v/>
      </c>
      <c r="D96" s="7">
        <f>IF(draw_summary!D14="","",draw_summary!D14)</f>
        <v/>
      </c>
      <c r="E96" s="11">
        <f>IF(draw_summary!E14="","",draw_summary!E14)</f>
        <v/>
      </c>
      <c r="F96" s="11">
        <f>IF(draw_summary!F14="","",draw_summary!F14)</f>
        <v/>
      </c>
      <c r="G96" s="14">
        <f>IF(draw_summary!G14="","",draw_summary!G14)</f>
        <v/>
      </c>
      <c r="H96" s="14">
        <f>IF(draw_summary!H14="","",draw_summary!H14)</f>
        <v/>
      </c>
      <c r="U96">
        <f>IF(selection!H93=1,selection!M93,NA())</f>
        <v/>
      </c>
      <c r="V96">
        <f>IF(selection!H93=1,selection!N93,NA())</f>
        <v/>
      </c>
      <c r="W96">
        <f>IF(selection!H93=0,selection!M93,NA())</f>
        <v/>
      </c>
      <c r="X96">
        <f>IF(selection!H93=0,selection!N93,NA())</f>
        <v/>
      </c>
    </row>
    <row r="97">
      <c r="A97">
        <f>IF(draw_summary!A15="","",draw_summary!A15)</f>
        <v/>
      </c>
      <c r="B97" s="7">
        <f>IF(draw_summary!B15="","",draw_summary!B15)</f>
        <v/>
      </c>
      <c r="C97" s="7">
        <f>IF(draw_summary!C15="","",draw_summary!C15)</f>
        <v/>
      </c>
      <c r="D97" s="7">
        <f>IF(draw_summary!D15="","",draw_summary!D15)</f>
        <v/>
      </c>
      <c r="E97" s="11">
        <f>IF(draw_summary!E15="","",draw_summary!E15)</f>
        <v/>
      </c>
      <c r="F97" s="11">
        <f>IF(draw_summary!F15="","",draw_summary!F15)</f>
        <v/>
      </c>
      <c r="G97" s="14">
        <f>IF(draw_summary!G15="","",draw_summary!G15)</f>
        <v/>
      </c>
      <c r="H97" s="14">
        <f>IF(draw_summary!H15="","",draw_summary!H15)</f>
        <v/>
      </c>
      <c r="U97">
        <f>IF(selection!H94=1,selection!M94,NA())</f>
        <v/>
      </c>
      <c r="V97">
        <f>IF(selection!H94=1,selection!N94,NA())</f>
        <v/>
      </c>
      <c r="W97">
        <f>IF(selection!H94=0,selection!M94,NA())</f>
        <v/>
      </c>
      <c r="X97">
        <f>IF(selection!H94=0,selection!N94,NA())</f>
        <v/>
      </c>
    </row>
    <row r="98">
      <c r="A98">
        <f>IF(draw_summary!A16="","",draw_summary!A16)</f>
        <v/>
      </c>
      <c r="B98" s="7">
        <f>IF(draw_summary!B16="","",draw_summary!B16)</f>
        <v/>
      </c>
      <c r="C98" s="7">
        <f>IF(draw_summary!C16="","",draw_summary!C16)</f>
        <v/>
      </c>
      <c r="D98" s="7">
        <f>IF(draw_summary!D16="","",draw_summary!D16)</f>
        <v/>
      </c>
      <c r="E98" s="11">
        <f>IF(draw_summary!E16="","",draw_summary!E16)</f>
        <v/>
      </c>
      <c r="F98" s="11">
        <f>IF(draw_summary!F16="","",draw_summary!F16)</f>
        <v/>
      </c>
      <c r="G98" s="14">
        <f>IF(draw_summary!G16="","",draw_summary!G16)</f>
        <v/>
      </c>
      <c r="H98" s="14">
        <f>IF(draw_summary!H16="","",draw_summary!H16)</f>
        <v/>
      </c>
      <c r="U98">
        <f>IF(selection!H95=1,selection!M95,NA())</f>
        <v/>
      </c>
      <c r="V98">
        <f>IF(selection!H95=1,selection!N95,NA())</f>
        <v/>
      </c>
      <c r="W98">
        <f>IF(selection!H95=0,selection!M95,NA())</f>
        <v/>
      </c>
      <c r="X98">
        <f>IF(selection!H95=0,selection!N95,NA())</f>
        <v/>
      </c>
    </row>
    <row r="99">
      <c r="A99">
        <f>IF(draw_summary!A17="","",draw_summary!A17)</f>
        <v/>
      </c>
      <c r="B99" s="7">
        <f>IF(draw_summary!B17="","",draw_summary!B17)</f>
        <v/>
      </c>
      <c r="C99" s="7">
        <f>IF(draw_summary!C17="","",draw_summary!C17)</f>
        <v/>
      </c>
      <c r="D99" s="7">
        <f>IF(draw_summary!D17="","",draw_summary!D17)</f>
        <v/>
      </c>
      <c r="E99" s="11">
        <f>IF(draw_summary!E17="","",draw_summary!E17)</f>
        <v/>
      </c>
      <c r="F99" s="11">
        <f>IF(draw_summary!F17="","",draw_summary!F17)</f>
        <v/>
      </c>
      <c r="G99" s="14">
        <f>IF(draw_summary!G17="","",draw_summary!G17)</f>
        <v/>
      </c>
      <c r="H99" s="14">
        <f>IF(draw_summary!H17="","",draw_summary!H17)</f>
        <v/>
      </c>
      <c r="U99">
        <f>IF(selection!H96=1,selection!M96,NA())</f>
        <v/>
      </c>
      <c r="V99">
        <f>IF(selection!H96=1,selection!N96,NA())</f>
        <v/>
      </c>
      <c r="W99">
        <f>IF(selection!H96=0,selection!M96,NA())</f>
        <v/>
      </c>
      <c r="X99">
        <f>IF(selection!H96=0,selection!N96,NA())</f>
        <v/>
      </c>
    </row>
    <row r="100">
      <c r="A100">
        <f>IF(draw_summary!A18="","",draw_summary!A18)</f>
        <v/>
      </c>
      <c r="B100" s="7">
        <f>IF(draw_summary!B18="","",draw_summary!B18)</f>
        <v/>
      </c>
      <c r="C100" s="7">
        <f>IF(draw_summary!C18="","",draw_summary!C18)</f>
        <v/>
      </c>
      <c r="D100" s="7">
        <f>IF(draw_summary!D18="","",draw_summary!D18)</f>
        <v/>
      </c>
      <c r="E100" s="11">
        <f>IF(draw_summary!E18="","",draw_summary!E18)</f>
        <v/>
      </c>
      <c r="F100" s="11">
        <f>IF(draw_summary!F18="","",draw_summary!F18)</f>
        <v/>
      </c>
      <c r="G100" s="14">
        <f>IF(draw_summary!G18="","",draw_summary!G18)</f>
        <v/>
      </c>
      <c r="H100" s="14">
        <f>IF(draw_summary!H18="","",draw_summary!H18)</f>
        <v/>
      </c>
      <c r="U100">
        <f>IF(selection!H97=1,selection!M97,NA())</f>
        <v/>
      </c>
      <c r="V100">
        <f>IF(selection!H97=1,selection!N97,NA())</f>
        <v/>
      </c>
      <c r="W100">
        <f>IF(selection!H97=0,selection!M97,NA())</f>
        <v/>
      </c>
      <c r="X100">
        <f>IF(selection!H97=0,selection!N97,NA())</f>
        <v/>
      </c>
    </row>
    <row r="101">
      <c r="A101">
        <f>IF(draw_summary!A19="","",draw_summary!A19)</f>
        <v/>
      </c>
      <c r="B101" s="7">
        <f>IF(draw_summary!B19="","",draw_summary!B19)</f>
        <v/>
      </c>
      <c r="C101" s="7">
        <f>IF(draw_summary!C19="","",draw_summary!C19)</f>
        <v/>
      </c>
      <c r="D101" s="7">
        <f>IF(draw_summary!D19="","",draw_summary!D19)</f>
        <v/>
      </c>
      <c r="E101" s="11">
        <f>IF(draw_summary!E19="","",draw_summary!E19)</f>
        <v/>
      </c>
      <c r="F101" s="11">
        <f>IF(draw_summary!F19="","",draw_summary!F19)</f>
        <v/>
      </c>
      <c r="G101" s="14">
        <f>IF(draw_summary!G19="","",draw_summary!G19)</f>
        <v/>
      </c>
      <c r="H101" s="14">
        <f>IF(draw_summary!H19="","",draw_summary!H19)</f>
        <v/>
      </c>
      <c r="U101">
        <f>IF(selection!H98=1,selection!M98,NA())</f>
        <v/>
      </c>
      <c r="V101">
        <f>IF(selection!H98=1,selection!N98,NA())</f>
        <v/>
      </c>
      <c r="W101">
        <f>IF(selection!H98=0,selection!M98,NA())</f>
        <v/>
      </c>
      <c r="X101">
        <f>IF(selection!H98=0,selection!N98,NA())</f>
        <v/>
      </c>
    </row>
    <row r="102">
      <c r="A102">
        <f>IF(draw_summary!A20="","",draw_summary!A20)</f>
        <v/>
      </c>
      <c r="B102" s="7">
        <f>IF(draw_summary!B20="","",draw_summary!B20)</f>
        <v/>
      </c>
      <c r="C102" s="7">
        <f>IF(draw_summary!C20="","",draw_summary!C20)</f>
        <v/>
      </c>
      <c r="D102" s="7">
        <f>IF(draw_summary!D20="","",draw_summary!D20)</f>
        <v/>
      </c>
      <c r="E102" s="11">
        <f>IF(draw_summary!E20="","",draw_summary!E20)</f>
        <v/>
      </c>
      <c r="F102" s="11">
        <f>IF(draw_summary!F20="","",draw_summary!F20)</f>
        <v/>
      </c>
      <c r="G102" s="14">
        <f>IF(draw_summary!G20="","",draw_summary!G20)</f>
        <v/>
      </c>
      <c r="H102" s="14">
        <f>IF(draw_summary!H20="","",draw_summary!H20)</f>
        <v/>
      </c>
      <c r="U102">
        <f>IF(selection!H99=1,selection!M99,NA())</f>
        <v/>
      </c>
      <c r="V102">
        <f>IF(selection!H99=1,selection!N99,NA())</f>
        <v/>
      </c>
      <c r="W102">
        <f>IF(selection!H99=0,selection!M99,NA())</f>
        <v/>
      </c>
      <c r="X102">
        <f>IF(selection!H99=0,selection!N99,NA())</f>
        <v/>
      </c>
    </row>
    <row r="103">
      <c r="A103">
        <f>IF(draw_summary!A21="","",draw_summary!A21)</f>
        <v/>
      </c>
      <c r="B103" s="7">
        <f>IF(draw_summary!B21="","",draw_summary!B21)</f>
        <v/>
      </c>
      <c r="C103" s="7">
        <f>IF(draw_summary!C21="","",draw_summary!C21)</f>
        <v/>
      </c>
      <c r="D103" s="7">
        <f>IF(draw_summary!D21="","",draw_summary!D21)</f>
        <v/>
      </c>
      <c r="E103" s="11">
        <f>IF(draw_summary!E21="","",draw_summary!E21)</f>
        <v/>
      </c>
      <c r="F103" s="11">
        <f>IF(draw_summary!F21="","",draw_summary!F21)</f>
        <v/>
      </c>
      <c r="G103" s="14">
        <f>IF(draw_summary!G21="","",draw_summary!G21)</f>
        <v/>
      </c>
      <c r="H103" s="14">
        <f>IF(draw_summary!H21="","",draw_summary!H21)</f>
        <v/>
      </c>
      <c r="U103">
        <f>IF(selection!H100=1,selection!M100,NA())</f>
        <v/>
      </c>
      <c r="V103">
        <f>IF(selection!H100=1,selection!N100,NA())</f>
        <v/>
      </c>
      <c r="W103">
        <f>IF(selection!H100=0,selection!M100,NA())</f>
        <v/>
      </c>
      <c r="X103">
        <f>IF(selection!H100=0,selection!N100,NA())</f>
        <v/>
      </c>
    </row>
    <row r="104">
      <c r="A104">
        <f>IF(draw_summary!A22="","",draw_summary!A22)</f>
        <v/>
      </c>
      <c r="B104" s="7">
        <f>IF(draw_summary!B22="","",draw_summary!B22)</f>
        <v/>
      </c>
      <c r="C104" s="7">
        <f>IF(draw_summary!C22="","",draw_summary!C22)</f>
        <v/>
      </c>
      <c r="D104" s="7">
        <f>IF(draw_summary!D22="","",draw_summary!D22)</f>
        <v/>
      </c>
      <c r="E104" s="11">
        <f>IF(draw_summary!E22="","",draw_summary!E22)</f>
        <v/>
      </c>
      <c r="F104" s="11">
        <f>IF(draw_summary!F22="","",draw_summary!F22)</f>
        <v/>
      </c>
      <c r="G104" s="14">
        <f>IF(draw_summary!G22="","",draw_summary!G22)</f>
        <v/>
      </c>
      <c r="H104" s="14">
        <f>IF(draw_summary!H22="","",draw_summary!H22)</f>
        <v/>
      </c>
      <c r="U104">
        <f>IF(selection!H101=1,selection!M101,NA())</f>
        <v/>
      </c>
      <c r="V104">
        <f>IF(selection!H101=1,selection!N101,NA())</f>
        <v/>
      </c>
      <c r="W104">
        <f>IF(selection!H101=0,selection!M101,NA())</f>
        <v/>
      </c>
      <c r="X104">
        <f>IF(selection!H101=0,selection!N101,NA())</f>
        <v/>
      </c>
    </row>
    <row r="105">
      <c r="A105">
        <f>IF(draw_summary!A23="","",draw_summary!A23)</f>
        <v/>
      </c>
      <c r="B105" s="7">
        <f>IF(draw_summary!B23="","",draw_summary!B23)</f>
        <v/>
      </c>
      <c r="C105" s="7">
        <f>IF(draw_summary!C23="","",draw_summary!C23)</f>
        <v/>
      </c>
      <c r="D105" s="7">
        <f>IF(draw_summary!D23="","",draw_summary!D23)</f>
        <v/>
      </c>
      <c r="E105" s="11">
        <f>IF(draw_summary!E23="","",draw_summary!E23)</f>
        <v/>
      </c>
      <c r="F105" s="11">
        <f>IF(draw_summary!F23="","",draw_summary!F23)</f>
        <v/>
      </c>
      <c r="G105" s="14">
        <f>IF(draw_summary!G23="","",draw_summary!G23)</f>
        <v/>
      </c>
      <c r="H105" s="14">
        <f>IF(draw_summary!H23="","",draw_summary!H23)</f>
        <v/>
      </c>
      <c r="U105">
        <f>IF(selection!H102=1,selection!M102,NA())</f>
        <v/>
      </c>
      <c r="V105">
        <f>IF(selection!H102=1,selection!N102,NA())</f>
        <v/>
      </c>
      <c r="W105">
        <f>IF(selection!H102=0,selection!M102,NA())</f>
        <v/>
      </c>
      <c r="X105">
        <f>IF(selection!H102=0,selection!N102,NA())</f>
        <v/>
      </c>
    </row>
    <row r="106">
      <c r="A106">
        <f>IF(draw_summary!A24="","",draw_summary!A24)</f>
        <v/>
      </c>
      <c r="B106" s="7">
        <f>IF(draw_summary!B24="","",draw_summary!B24)</f>
        <v/>
      </c>
      <c r="C106" s="7">
        <f>IF(draw_summary!C24="","",draw_summary!C24)</f>
        <v/>
      </c>
      <c r="D106" s="7">
        <f>IF(draw_summary!D24="","",draw_summary!D24)</f>
        <v/>
      </c>
      <c r="E106" s="11">
        <f>IF(draw_summary!E24="","",draw_summary!E24)</f>
        <v/>
      </c>
      <c r="F106" s="11">
        <f>IF(draw_summary!F24="","",draw_summary!F24)</f>
        <v/>
      </c>
      <c r="G106" s="14">
        <f>IF(draw_summary!G24="","",draw_summary!G24)</f>
        <v/>
      </c>
      <c r="H106" s="14">
        <f>IF(draw_summary!H24="","",draw_summary!H24)</f>
        <v/>
      </c>
      <c r="U106">
        <f>IF(selection!H103=1,selection!M103,NA())</f>
        <v/>
      </c>
      <c r="V106">
        <f>IF(selection!H103=1,selection!N103,NA())</f>
        <v/>
      </c>
      <c r="W106">
        <f>IF(selection!H103=0,selection!M103,NA())</f>
        <v/>
      </c>
      <c r="X106">
        <f>IF(selection!H103=0,selection!N103,NA())</f>
        <v/>
      </c>
    </row>
    <row r="107">
      <c r="A107">
        <f>IF(draw_summary!A25="","",draw_summary!A25)</f>
        <v/>
      </c>
      <c r="B107" s="7">
        <f>IF(draw_summary!B25="","",draw_summary!B25)</f>
        <v/>
      </c>
      <c r="C107" s="7">
        <f>IF(draw_summary!C25="","",draw_summary!C25)</f>
        <v/>
      </c>
      <c r="D107" s="7">
        <f>IF(draw_summary!D25="","",draw_summary!D25)</f>
        <v/>
      </c>
      <c r="E107" s="11">
        <f>IF(draw_summary!E25="","",draw_summary!E25)</f>
        <v/>
      </c>
      <c r="F107" s="11">
        <f>IF(draw_summary!F25="","",draw_summary!F25)</f>
        <v/>
      </c>
      <c r="G107" s="14">
        <f>IF(draw_summary!G25="","",draw_summary!G25)</f>
        <v/>
      </c>
      <c r="H107" s="14">
        <f>IF(draw_summary!H25="","",draw_summary!H25)</f>
        <v/>
      </c>
      <c r="U107">
        <f>IF(selection!H104=1,selection!M104,NA())</f>
        <v/>
      </c>
      <c r="V107">
        <f>IF(selection!H104=1,selection!N104,NA())</f>
        <v/>
      </c>
      <c r="W107">
        <f>IF(selection!H104=0,selection!M104,NA())</f>
        <v/>
      </c>
      <c r="X107">
        <f>IF(selection!H104=0,selection!N104,NA())</f>
        <v/>
      </c>
    </row>
    <row r="108">
      <c r="A108">
        <f>IF(draw_summary!A26="","",draw_summary!A26)</f>
        <v/>
      </c>
      <c r="B108" s="7">
        <f>IF(draw_summary!B26="","",draw_summary!B26)</f>
        <v/>
      </c>
      <c r="C108" s="7">
        <f>IF(draw_summary!C26="","",draw_summary!C26)</f>
        <v/>
      </c>
      <c r="D108" s="7">
        <f>IF(draw_summary!D26="","",draw_summary!D26)</f>
        <v/>
      </c>
      <c r="E108" s="11">
        <f>IF(draw_summary!E26="","",draw_summary!E26)</f>
        <v/>
      </c>
      <c r="F108" s="11">
        <f>IF(draw_summary!F26="","",draw_summary!F26)</f>
        <v/>
      </c>
      <c r="G108" s="14">
        <f>IF(draw_summary!G26="","",draw_summary!G26)</f>
        <v/>
      </c>
      <c r="H108" s="14">
        <f>IF(draw_summary!H26="","",draw_summary!H26)</f>
        <v/>
      </c>
      <c r="U108">
        <f>IF(selection!H105=1,selection!M105,NA())</f>
        <v/>
      </c>
      <c r="V108">
        <f>IF(selection!H105=1,selection!N105,NA())</f>
        <v/>
      </c>
      <c r="W108">
        <f>IF(selection!H105=0,selection!M105,NA())</f>
        <v/>
      </c>
      <c r="X108">
        <f>IF(selection!H105=0,selection!N105,NA())</f>
        <v/>
      </c>
    </row>
    <row r="109">
      <c r="A109">
        <f>IF(draw_summary!A27="","",draw_summary!A27)</f>
        <v/>
      </c>
      <c r="B109" s="7">
        <f>IF(draw_summary!B27="","",draw_summary!B27)</f>
        <v/>
      </c>
      <c r="C109" s="7">
        <f>IF(draw_summary!C27="","",draw_summary!C27)</f>
        <v/>
      </c>
      <c r="D109" s="7">
        <f>IF(draw_summary!D27="","",draw_summary!D27)</f>
        <v/>
      </c>
      <c r="E109" s="11">
        <f>IF(draw_summary!E27="","",draw_summary!E27)</f>
        <v/>
      </c>
      <c r="F109" s="11">
        <f>IF(draw_summary!F27="","",draw_summary!F27)</f>
        <v/>
      </c>
      <c r="G109" s="14">
        <f>IF(draw_summary!G27="","",draw_summary!G27)</f>
        <v/>
      </c>
      <c r="H109" s="14">
        <f>IF(draw_summary!H27="","",draw_summary!H27)</f>
        <v/>
      </c>
      <c r="U109">
        <f>IF(selection!H106=1,selection!M106,NA())</f>
        <v/>
      </c>
      <c r="V109">
        <f>IF(selection!H106=1,selection!N106,NA())</f>
        <v/>
      </c>
      <c r="W109">
        <f>IF(selection!H106=0,selection!M106,NA())</f>
        <v/>
      </c>
      <c r="X109">
        <f>IF(selection!H106=0,selection!N106,NA())</f>
        <v/>
      </c>
    </row>
    <row r="110">
      <c r="A110">
        <f>IF(draw_summary!A28="","",draw_summary!A28)</f>
        <v/>
      </c>
      <c r="B110" s="7">
        <f>IF(draw_summary!B28="","",draw_summary!B28)</f>
        <v/>
      </c>
      <c r="C110" s="7">
        <f>IF(draw_summary!C28="","",draw_summary!C28)</f>
        <v/>
      </c>
      <c r="D110" s="7">
        <f>IF(draw_summary!D28="","",draw_summary!D28)</f>
        <v/>
      </c>
      <c r="E110" s="11">
        <f>IF(draw_summary!E28="","",draw_summary!E28)</f>
        <v/>
      </c>
      <c r="F110" s="11">
        <f>IF(draw_summary!F28="","",draw_summary!F28)</f>
        <v/>
      </c>
      <c r="G110" s="14">
        <f>IF(draw_summary!G28="","",draw_summary!G28)</f>
        <v/>
      </c>
      <c r="H110" s="14">
        <f>IF(draw_summary!H28="","",draw_summary!H28)</f>
        <v/>
      </c>
      <c r="U110">
        <f>IF(selection!H107=1,selection!M107,NA())</f>
        <v/>
      </c>
      <c r="V110">
        <f>IF(selection!H107=1,selection!N107,NA())</f>
        <v/>
      </c>
      <c r="W110">
        <f>IF(selection!H107=0,selection!M107,NA())</f>
        <v/>
      </c>
      <c r="X110">
        <f>IF(selection!H107=0,selection!N107,NA())</f>
        <v/>
      </c>
    </row>
    <row r="111">
      <c r="A111">
        <f>IF(draw_summary!A29="","",draw_summary!A29)</f>
        <v/>
      </c>
      <c r="B111" s="7">
        <f>IF(draw_summary!B29="","",draw_summary!B29)</f>
        <v/>
      </c>
      <c r="C111" s="7">
        <f>IF(draw_summary!C29="","",draw_summary!C29)</f>
        <v/>
      </c>
      <c r="D111" s="7">
        <f>IF(draw_summary!D29="","",draw_summary!D29)</f>
        <v/>
      </c>
      <c r="E111" s="11">
        <f>IF(draw_summary!E29="","",draw_summary!E29)</f>
        <v/>
      </c>
      <c r="F111" s="11">
        <f>IF(draw_summary!F29="","",draw_summary!F29)</f>
        <v/>
      </c>
      <c r="G111" s="14">
        <f>IF(draw_summary!G29="","",draw_summary!G29)</f>
        <v/>
      </c>
      <c r="H111" s="14">
        <f>IF(draw_summary!H29="","",draw_summary!H29)</f>
        <v/>
      </c>
      <c r="U111">
        <f>IF(selection!H108=1,selection!M108,NA())</f>
        <v/>
      </c>
      <c r="V111">
        <f>IF(selection!H108=1,selection!N108,NA())</f>
        <v/>
      </c>
      <c r="W111">
        <f>IF(selection!H108=0,selection!M108,NA())</f>
        <v/>
      </c>
      <c r="X111">
        <f>IF(selection!H108=0,selection!N108,NA())</f>
        <v/>
      </c>
    </row>
    <row r="112">
      <c r="A112">
        <f>IF(draw_summary!A30="","",draw_summary!A30)</f>
        <v/>
      </c>
      <c r="B112" s="7">
        <f>IF(draw_summary!B30="","",draw_summary!B30)</f>
        <v/>
      </c>
      <c r="C112" s="7">
        <f>IF(draw_summary!C30="","",draw_summary!C30)</f>
        <v/>
      </c>
      <c r="D112" s="7">
        <f>IF(draw_summary!D30="","",draw_summary!D30)</f>
        <v/>
      </c>
      <c r="E112" s="11">
        <f>IF(draw_summary!E30="","",draw_summary!E30)</f>
        <v/>
      </c>
      <c r="F112" s="11">
        <f>IF(draw_summary!F30="","",draw_summary!F30)</f>
        <v/>
      </c>
      <c r="G112" s="14">
        <f>IF(draw_summary!G30="","",draw_summary!G30)</f>
        <v/>
      </c>
      <c r="H112" s="14">
        <f>IF(draw_summary!H30="","",draw_summary!H30)</f>
        <v/>
      </c>
      <c r="U112">
        <f>IF(selection!H109=1,selection!M109,NA())</f>
        <v/>
      </c>
      <c r="V112">
        <f>IF(selection!H109=1,selection!N109,NA())</f>
        <v/>
      </c>
      <c r="W112">
        <f>IF(selection!H109=0,selection!M109,NA())</f>
        <v/>
      </c>
      <c r="X112">
        <f>IF(selection!H109=0,selection!N109,NA())</f>
        <v/>
      </c>
    </row>
    <row r="113">
      <c r="A113">
        <f>IF(draw_summary!A31="","",draw_summary!A31)</f>
        <v/>
      </c>
      <c r="B113" s="7">
        <f>IF(draw_summary!B31="","",draw_summary!B31)</f>
        <v/>
      </c>
      <c r="C113" s="7">
        <f>IF(draw_summary!C31="","",draw_summary!C31)</f>
        <v/>
      </c>
      <c r="D113" s="7">
        <f>IF(draw_summary!D31="","",draw_summary!D31)</f>
        <v/>
      </c>
      <c r="E113" s="11">
        <f>IF(draw_summary!E31="","",draw_summary!E31)</f>
        <v/>
      </c>
      <c r="F113" s="11">
        <f>IF(draw_summary!F31="","",draw_summary!F31)</f>
        <v/>
      </c>
      <c r="G113" s="14">
        <f>IF(draw_summary!G31="","",draw_summary!G31)</f>
        <v/>
      </c>
      <c r="H113" s="14">
        <f>IF(draw_summary!H31="","",draw_summary!H31)</f>
        <v/>
      </c>
      <c r="U113">
        <f>IF(selection!H110=1,selection!M110,NA())</f>
        <v/>
      </c>
      <c r="V113">
        <f>IF(selection!H110=1,selection!N110,NA())</f>
        <v/>
      </c>
      <c r="W113">
        <f>IF(selection!H110=0,selection!M110,NA())</f>
        <v/>
      </c>
      <c r="X113">
        <f>IF(selection!H110=0,selection!N110,NA())</f>
        <v/>
      </c>
    </row>
    <row r="114">
      <c r="A114">
        <f>IF(draw_summary!A32="","",draw_summary!A32)</f>
        <v/>
      </c>
      <c r="B114" s="7">
        <f>IF(draw_summary!B32="","",draw_summary!B32)</f>
        <v/>
      </c>
      <c r="C114" s="7">
        <f>IF(draw_summary!C32="","",draw_summary!C32)</f>
        <v/>
      </c>
      <c r="D114" s="7">
        <f>IF(draw_summary!D32="","",draw_summary!D32)</f>
        <v/>
      </c>
      <c r="E114" s="11">
        <f>IF(draw_summary!E32="","",draw_summary!E32)</f>
        <v/>
      </c>
      <c r="F114" s="11">
        <f>IF(draw_summary!F32="","",draw_summary!F32)</f>
        <v/>
      </c>
      <c r="G114" s="14">
        <f>IF(draw_summary!G32="","",draw_summary!G32)</f>
        <v/>
      </c>
      <c r="H114" s="14">
        <f>IF(draw_summary!H32="","",draw_summary!H32)</f>
        <v/>
      </c>
      <c r="U114">
        <f>IF(selection!H111=1,selection!M111,NA())</f>
        <v/>
      </c>
      <c r="V114">
        <f>IF(selection!H111=1,selection!N111,NA())</f>
        <v/>
      </c>
      <c r="W114">
        <f>IF(selection!H111=0,selection!M111,NA())</f>
        <v/>
      </c>
      <c r="X114">
        <f>IF(selection!H111=0,selection!N111,NA())</f>
        <v/>
      </c>
    </row>
    <row r="115">
      <c r="A115">
        <f>IF(draw_summary!A33="","",draw_summary!A33)</f>
        <v/>
      </c>
      <c r="B115" s="7">
        <f>IF(draw_summary!B33="","",draw_summary!B33)</f>
        <v/>
      </c>
      <c r="C115" s="7">
        <f>IF(draw_summary!C33="","",draw_summary!C33)</f>
        <v/>
      </c>
      <c r="D115" s="7">
        <f>IF(draw_summary!D33="","",draw_summary!D33)</f>
        <v/>
      </c>
      <c r="E115" s="11">
        <f>IF(draw_summary!E33="","",draw_summary!E33)</f>
        <v/>
      </c>
      <c r="F115" s="11">
        <f>IF(draw_summary!F33="","",draw_summary!F33)</f>
        <v/>
      </c>
      <c r="G115" s="14">
        <f>IF(draw_summary!G33="","",draw_summary!G33)</f>
        <v/>
      </c>
      <c r="H115" s="14">
        <f>IF(draw_summary!H33="","",draw_summary!H33)</f>
        <v/>
      </c>
      <c r="U115">
        <f>IF(selection!H112=1,selection!M112,NA())</f>
        <v/>
      </c>
      <c r="V115">
        <f>IF(selection!H112=1,selection!N112,NA())</f>
        <v/>
      </c>
      <c r="W115">
        <f>IF(selection!H112=0,selection!M112,NA())</f>
        <v/>
      </c>
      <c r="X115">
        <f>IF(selection!H112=0,selection!N112,NA())</f>
        <v/>
      </c>
    </row>
    <row r="116">
      <c r="A116">
        <f>IF(draw_summary!A34="","",draw_summary!A34)</f>
        <v/>
      </c>
      <c r="B116" s="7">
        <f>IF(draw_summary!B34="","",draw_summary!B34)</f>
        <v/>
      </c>
      <c r="C116" s="7">
        <f>IF(draw_summary!C34="","",draw_summary!C34)</f>
        <v/>
      </c>
      <c r="D116" s="7">
        <f>IF(draw_summary!D34="","",draw_summary!D34)</f>
        <v/>
      </c>
      <c r="E116" s="11">
        <f>IF(draw_summary!E34="","",draw_summary!E34)</f>
        <v/>
      </c>
      <c r="F116" s="11">
        <f>IF(draw_summary!F34="","",draw_summary!F34)</f>
        <v/>
      </c>
      <c r="G116" s="14">
        <f>IF(draw_summary!G34="","",draw_summary!G34)</f>
        <v/>
      </c>
      <c r="H116" s="14">
        <f>IF(draw_summary!H34="","",draw_summary!H34)</f>
        <v/>
      </c>
      <c r="U116">
        <f>IF(selection!H113=1,selection!M113,NA())</f>
        <v/>
      </c>
      <c r="V116">
        <f>IF(selection!H113=1,selection!N113,NA())</f>
        <v/>
      </c>
      <c r="W116">
        <f>IF(selection!H113=0,selection!M113,NA())</f>
        <v/>
      </c>
      <c r="X116">
        <f>IF(selection!H113=0,selection!N113,NA())</f>
        <v/>
      </c>
    </row>
    <row r="117">
      <c r="A117">
        <f>IF(draw_summary!A35="","",draw_summary!A35)</f>
        <v/>
      </c>
      <c r="B117" s="7">
        <f>IF(draw_summary!B35="","",draw_summary!B35)</f>
        <v/>
      </c>
      <c r="C117" s="7">
        <f>IF(draw_summary!C35="","",draw_summary!C35)</f>
        <v/>
      </c>
      <c r="D117" s="7">
        <f>IF(draw_summary!D35="","",draw_summary!D35)</f>
        <v/>
      </c>
      <c r="E117" s="11">
        <f>IF(draw_summary!E35="","",draw_summary!E35)</f>
        <v/>
      </c>
      <c r="F117" s="11">
        <f>IF(draw_summary!F35="","",draw_summary!F35)</f>
        <v/>
      </c>
      <c r="G117" s="14">
        <f>IF(draw_summary!G35="","",draw_summary!G35)</f>
        <v/>
      </c>
      <c r="H117" s="14">
        <f>IF(draw_summary!H35="","",draw_summary!H35)</f>
        <v/>
      </c>
      <c r="U117">
        <f>IF(selection!H114=1,selection!M114,NA())</f>
        <v/>
      </c>
      <c r="V117">
        <f>IF(selection!H114=1,selection!N114,NA())</f>
        <v/>
      </c>
      <c r="W117">
        <f>IF(selection!H114=0,selection!M114,NA())</f>
        <v/>
      </c>
      <c r="X117">
        <f>IF(selection!H114=0,selection!N114,NA())</f>
        <v/>
      </c>
    </row>
    <row r="118">
      <c r="A118">
        <f>IF(draw_summary!A36="","",draw_summary!A36)</f>
        <v/>
      </c>
      <c r="B118" s="7">
        <f>IF(draw_summary!B36="","",draw_summary!B36)</f>
        <v/>
      </c>
      <c r="C118" s="7">
        <f>IF(draw_summary!C36="","",draw_summary!C36)</f>
        <v/>
      </c>
      <c r="D118" s="7">
        <f>IF(draw_summary!D36="","",draw_summary!D36)</f>
        <v/>
      </c>
      <c r="E118" s="11">
        <f>IF(draw_summary!E36="","",draw_summary!E36)</f>
        <v/>
      </c>
      <c r="F118" s="11">
        <f>IF(draw_summary!F36="","",draw_summary!F36)</f>
        <v/>
      </c>
      <c r="G118" s="14">
        <f>IF(draw_summary!G36="","",draw_summary!G36)</f>
        <v/>
      </c>
      <c r="H118" s="14">
        <f>IF(draw_summary!H36="","",draw_summary!H36)</f>
        <v/>
      </c>
      <c r="U118">
        <f>IF(selection!H115=1,selection!M115,NA())</f>
        <v/>
      </c>
      <c r="V118">
        <f>IF(selection!H115=1,selection!N115,NA())</f>
        <v/>
      </c>
      <c r="W118">
        <f>IF(selection!H115=0,selection!M115,NA())</f>
        <v/>
      </c>
      <c r="X118">
        <f>IF(selection!H115=0,selection!N115,NA())</f>
        <v/>
      </c>
    </row>
    <row r="119">
      <c r="A119">
        <f>IF(draw_summary!A37="","",draw_summary!A37)</f>
        <v/>
      </c>
      <c r="B119" s="7">
        <f>IF(draw_summary!B37="","",draw_summary!B37)</f>
        <v/>
      </c>
      <c r="C119" s="7">
        <f>IF(draw_summary!C37="","",draw_summary!C37)</f>
        <v/>
      </c>
      <c r="D119" s="7">
        <f>IF(draw_summary!D37="","",draw_summary!D37)</f>
        <v/>
      </c>
      <c r="E119" s="11">
        <f>IF(draw_summary!E37="","",draw_summary!E37)</f>
        <v/>
      </c>
      <c r="F119" s="11">
        <f>IF(draw_summary!F37="","",draw_summary!F37)</f>
        <v/>
      </c>
      <c r="G119" s="14">
        <f>IF(draw_summary!G37="","",draw_summary!G37)</f>
        <v/>
      </c>
      <c r="H119" s="14">
        <f>IF(draw_summary!H37="","",draw_summary!H37)</f>
        <v/>
      </c>
      <c r="U119">
        <f>IF(selection!H116=1,selection!M116,NA())</f>
        <v/>
      </c>
      <c r="V119">
        <f>IF(selection!H116=1,selection!N116,NA())</f>
        <v/>
      </c>
      <c r="W119">
        <f>IF(selection!H116=0,selection!M116,NA())</f>
        <v/>
      </c>
      <c r="X119">
        <f>IF(selection!H116=0,selection!N116,NA())</f>
        <v/>
      </c>
    </row>
    <row r="120">
      <c r="A120">
        <f>IF(draw_summary!A38="","",draw_summary!A38)</f>
        <v/>
      </c>
      <c r="B120" s="7">
        <f>IF(draw_summary!B38="","",draw_summary!B38)</f>
        <v/>
      </c>
      <c r="C120" s="7">
        <f>IF(draw_summary!C38="","",draw_summary!C38)</f>
        <v/>
      </c>
      <c r="D120" s="7">
        <f>IF(draw_summary!D38="","",draw_summary!D38)</f>
        <v/>
      </c>
      <c r="E120" s="11">
        <f>IF(draw_summary!E38="","",draw_summary!E38)</f>
        <v/>
      </c>
      <c r="F120" s="11">
        <f>IF(draw_summary!F38="","",draw_summary!F38)</f>
        <v/>
      </c>
      <c r="G120" s="14">
        <f>IF(draw_summary!G38="","",draw_summary!G38)</f>
        <v/>
      </c>
      <c r="H120" s="14">
        <f>IF(draw_summary!H38="","",draw_summary!H38)</f>
        <v/>
      </c>
      <c r="U120">
        <f>IF(selection!H117=1,selection!M117,NA())</f>
        <v/>
      </c>
      <c r="V120">
        <f>IF(selection!H117=1,selection!N117,NA())</f>
        <v/>
      </c>
      <c r="W120">
        <f>IF(selection!H117=0,selection!M117,NA())</f>
        <v/>
      </c>
      <c r="X120">
        <f>IF(selection!H117=0,selection!N117,NA())</f>
        <v/>
      </c>
    </row>
    <row r="121">
      <c r="A121">
        <f>IF(draw_summary!A39="","",draw_summary!A39)</f>
        <v/>
      </c>
      <c r="B121" s="7">
        <f>IF(draw_summary!B39="","",draw_summary!B39)</f>
        <v/>
      </c>
      <c r="C121" s="7">
        <f>IF(draw_summary!C39="","",draw_summary!C39)</f>
        <v/>
      </c>
      <c r="D121" s="7">
        <f>IF(draw_summary!D39="","",draw_summary!D39)</f>
        <v/>
      </c>
      <c r="E121" s="11">
        <f>IF(draw_summary!E39="","",draw_summary!E39)</f>
        <v/>
      </c>
      <c r="F121" s="11">
        <f>IF(draw_summary!F39="","",draw_summary!F39)</f>
        <v/>
      </c>
      <c r="G121" s="14">
        <f>IF(draw_summary!G39="","",draw_summary!G39)</f>
        <v/>
      </c>
      <c r="H121" s="14">
        <f>IF(draw_summary!H39="","",draw_summary!H39)</f>
        <v/>
      </c>
      <c r="U121">
        <f>IF(selection!H118=1,selection!M118,NA())</f>
        <v/>
      </c>
      <c r="V121">
        <f>IF(selection!H118=1,selection!N118,NA())</f>
        <v/>
      </c>
      <c r="W121">
        <f>IF(selection!H118=0,selection!M118,NA())</f>
        <v/>
      </c>
      <c r="X121">
        <f>IF(selection!H118=0,selection!N118,NA())</f>
        <v/>
      </c>
    </row>
    <row r="122">
      <c r="A122">
        <f>IF(draw_summary!A40="","",draw_summary!A40)</f>
        <v/>
      </c>
      <c r="B122" s="7">
        <f>IF(draw_summary!B40="","",draw_summary!B40)</f>
        <v/>
      </c>
      <c r="C122" s="7">
        <f>IF(draw_summary!C40="","",draw_summary!C40)</f>
        <v/>
      </c>
      <c r="D122" s="7">
        <f>IF(draw_summary!D40="","",draw_summary!D40)</f>
        <v/>
      </c>
      <c r="E122" s="11">
        <f>IF(draw_summary!E40="","",draw_summary!E40)</f>
        <v/>
      </c>
      <c r="F122" s="11">
        <f>IF(draw_summary!F40="","",draw_summary!F40)</f>
        <v/>
      </c>
      <c r="G122" s="14">
        <f>IF(draw_summary!G40="","",draw_summary!G40)</f>
        <v/>
      </c>
      <c r="H122" s="14">
        <f>IF(draw_summary!H40="","",draw_summary!H40)</f>
        <v/>
      </c>
      <c r="U122">
        <f>IF(selection!H119=1,selection!M119,NA())</f>
        <v/>
      </c>
      <c r="V122">
        <f>IF(selection!H119=1,selection!N119,NA())</f>
        <v/>
      </c>
      <c r="W122">
        <f>IF(selection!H119=0,selection!M119,NA())</f>
        <v/>
      </c>
      <c r="X122">
        <f>IF(selection!H119=0,selection!N119,NA())</f>
        <v/>
      </c>
    </row>
    <row r="123">
      <c r="A123">
        <f>IF(draw_summary!A41="","",draw_summary!A41)</f>
        <v/>
      </c>
      <c r="B123" s="7">
        <f>IF(draw_summary!B41="","",draw_summary!B41)</f>
        <v/>
      </c>
      <c r="C123" s="7">
        <f>IF(draw_summary!C41="","",draw_summary!C41)</f>
        <v/>
      </c>
      <c r="D123" s="7">
        <f>IF(draw_summary!D41="","",draw_summary!D41)</f>
        <v/>
      </c>
      <c r="E123" s="11">
        <f>IF(draw_summary!E41="","",draw_summary!E41)</f>
        <v/>
      </c>
      <c r="F123" s="11">
        <f>IF(draw_summary!F41="","",draw_summary!F41)</f>
        <v/>
      </c>
      <c r="G123" s="14">
        <f>IF(draw_summary!G41="","",draw_summary!G41)</f>
        <v/>
      </c>
      <c r="H123" s="14">
        <f>IF(draw_summary!H41="","",draw_summary!H41)</f>
        <v/>
      </c>
      <c r="U123">
        <f>IF(selection!H120=1,selection!M120,NA())</f>
        <v/>
      </c>
      <c r="V123">
        <f>IF(selection!H120=1,selection!N120,NA())</f>
        <v/>
      </c>
      <c r="W123">
        <f>IF(selection!H120=0,selection!M120,NA())</f>
        <v/>
      </c>
      <c r="X123">
        <f>IF(selection!H120=0,selection!N120,NA())</f>
        <v/>
      </c>
    </row>
    <row r="124">
      <c r="U124">
        <f>IF(selection!H121=1,selection!M121,NA())</f>
        <v/>
      </c>
      <c r="V124">
        <f>IF(selection!H121=1,selection!N121,NA())</f>
        <v/>
      </c>
      <c r="W124">
        <f>IF(selection!H121=0,selection!M121,NA())</f>
        <v/>
      </c>
      <c r="X124">
        <f>IF(selection!H121=0,selection!N121,NA())</f>
        <v/>
      </c>
    </row>
    <row r="125">
      <c r="A125" s="3" t="inlineStr">
        <is>
          <t>Selected and reserve units (selection.csv, first 60 rows; the file holds all)</t>
        </is>
      </c>
      <c r="U125">
        <f>IF(selection!H122=1,selection!M122,NA())</f>
        <v/>
      </c>
      <c r="V125">
        <f>IF(selection!H122=1,selection!N122,NA())</f>
        <v/>
      </c>
      <c r="W125">
        <f>IF(selection!H122=0,selection!M122,NA())</f>
        <v/>
      </c>
      <c r="X125">
        <f>IF(selection!H122=0,selection!N122,NA())</f>
        <v/>
      </c>
    </row>
    <row r="126">
      <c r="A126" s="6" t="inlineStr">
        <is>
          <t>unit_id</t>
        </is>
      </c>
      <c r="B126" s="6" t="inlineStr">
        <is>
          <t>stratum</t>
        </is>
      </c>
      <c r="C126" s="6" t="inlineStr">
        <is>
          <t>size</t>
        </is>
      </c>
      <c r="D126" s="6" t="inlineStr">
        <is>
          <t>order</t>
        </is>
      </c>
      <c r="E126" s="6" t="inlineStr">
        <is>
          <t>key</t>
        </is>
      </c>
      <c r="F126" s="6" t="inlineStr">
        <is>
          <t>cum_size</t>
        </is>
      </c>
      <c r="G126" s="6" t="inlineStr">
        <is>
          <t>selection_number</t>
        </is>
      </c>
      <c r="H126" s="6" t="inlineStr">
        <is>
          <t>selected</t>
        </is>
      </c>
      <c r="I126" s="6" t="inlineStr">
        <is>
          <t>reserve</t>
        </is>
      </c>
      <c r="J126" s="6" t="inlineStr">
        <is>
          <t>rank</t>
        </is>
      </c>
      <c r="K126" s="6" t="inlineStr">
        <is>
          <t>prob</t>
        </is>
      </c>
      <c r="L126" s="6" t="inlineStr">
        <is>
          <t>weight</t>
        </is>
      </c>
      <c r="M126" s="6" t="inlineStr">
        <is>
          <t>x</t>
        </is>
      </c>
      <c r="N126" s="6" t="inlineStr">
        <is>
          <t>y</t>
        </is>
      </c>
      <c r="U126">
        <f>IF(selection!H123=1,selection!M123,NA())</f>
        <v/>
      </c>
      <c r="V126">
        <f>IF(selection!H123=1,selection!N123,NA())</f>
        <v/>
      </c>
      <c r="W126">
        <f>IF(selection!H123=0,selection!M123,NA())</f>
        <v/>
      </c>
      <c r="X126">
        <f>IF(selection!H123=0,selection!N123,NA())</f>
        <v/>
      </c>
    </row>
    <row r="127">
      <c r="A127">
        <f>IF(selection!A2="","",selection!A2)</f>
        <v/>
      </c>
      <c r="B127">
        <f>IF(selection!B2="","",selection!B2)</f>
        <v/>
      </c>
      <c r="C127" s="7">
        <f>IF(selection!C2="","",selection!C2)</f>
        <v/>
      </c>
      <c r="D127" s="13">
        <f>IF(selection!D2="","",selection!D2)</f>
        <v/>
      </c>
      <c r="E127" s="10">
        <f>IF(selection!E2="","",selection!E2)</f>
        <v/>
      </c>
      <c r="F127" s="7">
        <f>IF(selection!F2="","",selection!F2)</f>
        <v/>
      </c>
      <c r="G127" s="14">
        <f>IF(selection!G2="","",selection!G2)</f>
        <v/>
      </c>
      <c r="H127" s="13">
        <f>IF(selection!H2="","",selection!H2)</f>
        <v/>
      </c>
      <c r="I127" s="13">
        <f>IF(selection!I2="","",selection!I2)</f>
        <v/>
      </c>
      <c r="J127" s="13">
        <f>IF(selection!J2="","",selection!J2)</f>
        <v/>
      </c>
      <c r="K127" s="11">
        <f>IF(selection!K2="","",selection!K2)</f>
        <v/>
      </c>
      <c r="L127" s="15">
        <f>IF(selection!L2="","",selection!L2)</f>
        <v/>
      </c>
      <c r="M127" s="7">
        <f>IF(selection!M2="","",selection!M2)</f>
        <v/>
      </c>
      <c r="N127" s="7">
        <f>IF(selection!N2="","",selection!N2)</f>
        <v/>
      </c>
      <c r="U127">
        <f>IF(selection!H124=1,selection!M124,NA())</f>
        <v/>
      </c>
      <c r="V127">
        <f>IF(selection!H124=1,selection!N124,NA())</f>
        <v/>
      </c>
      <c r="W127">
        <f>IF(selection!H124=0,selection!M124,NA())</f>
        <v/>
      </c>
      <c r="X127">
        <f>IF(selection!H124=0,selection!N124,NA())</f>
        <v/>
      </c>
    </row>
    <row r="128">
      <c r="A128">
        <f>IF(selection!A3="","",selection!A3)</f>
        <v/>
      </c>
      <c r="B128">
        <f>IF(selection!B3="","",selection!B3)</f>
        <v/>
      </c>
      <c r="C128" s="7">
        <f>IF(selection!C3="","",selection!C3)</f>
        <v/>
      </c>
      <c r="D128" s="13">
        <f>IF(selection!D3="","",selection!D3)</f>
        <v/>
      </c>
      <c r="E128" s="10">
        <f>IF(selection!E3="","",selection!E3)</f>
        <v/>
      </c>
      <c r="F128" s="7">
        <f>IF(selection!F3="","",selection!F3)</f>
        <v/>
      </c>
      <c r="G128" s="14">
        <f>IF(selection!G3="","",selection!G3)</f>
        <v/>
      </c>
      <c r="H128" s="13">
        <f>IF(selection!H3="","",selection!H3)</f>
        <v/>
      </c>
      <c r="I128" s="13">
        <f>IF(selection!I3="","",selection!I3)</f>
        <v/>
      </c>
      <c r="J128" s="13">
        <f>IF(selection!J3="","",selection!J3)</f>
        <v/>
      </c>
      <c r="K128" s="11">
        <f>IF(selection!K3="","",selection!K3)</f>
        <v/>
      </c>
      <c r="L128" s="15">
        <f>IF(selection!L3="","",selection!L3)</f>
        <v/>
      </c>
      <c r="M128" s="7">
        <f>IF(selection!M3="","",selection!M3)</f>
        <v/>
      </c>
      <c r="N128" s="7">
        <f>IF(selection!N3="","",selection!N3)</f>
        <v/>
      </c>
      <c r="U128">
        <f>IF(selection!H125=1,selection!M125,NA())</f>
        <v/>
      </c>
      <c r="V128">
        <f>IF(selection!H125=1,selection!N125,NA())</f>
        <v/>
      </c>
      <c r="W128">
        <f>IF(selection!H125=0,selection!M125,NA())</f>
        <v/>
      </c>
      <c r="X128">
        <f>IF(selection!H125=0,selection!N125,NA())</f>
        <v/>
      </c>
    </row>
    <row r="129">
      <c r="A129">
        <f>IF(selection!A4="","",selection!A4)</f>
        <v/>
      </c>
      <c r="B129">
        <f>IF(selection!B4="","",selection!B4)</f>
        <v/>
      </c>
      <c r="C129" s="7">
        <f>IF(selection!C4="","",selection!C4)</f>
        <v/>
      </c>
      <c r="D129" s="13">
        <f>IF(selection!D4="","",selection!D4)</f>
        <v/>
      </c>
      <c r="E129" s="10">
        <f>IF(selection!E4="","",selection!E4)</f>
        <v/>
      </c>
      <c r="F129" s="7">
        <f>IF(selection!F4="","",selection!F4)</f>
        <v/>
      </c>
      <c r="G129" s="14">
        <f>IF(selection!G4="","",selection!G4)</f>
        <v/>
      </c>
      <c r="H129" s="13">
        <f>IF(selection!H4="","",selection!H4)</f>
        <v/>
      </c>
      <c r="I129" s="13">
        <f>IF(selection!I4="","",selection!I4)</f>
        <v/>
      </c>
      <c r="J129" s="13">
        <f>IF(selection!J4="","",selection!J4)</f>
        <v/>
      </c>
      <c r="K129" s="11">
        <f>IF(selection!K4="","",selection!K4)</f>
        <v/>
      </c>
      <c r="L129" s="15">
        <f>IF(selection!L4="","",selection!L4)</f>
        <v/>
      </c>
      <c r="M129" s="7">
        <f>IF(selection!M4="","",selection!M4)</f>
        <v/>
      </c>
      <c r="N129" s="7">
        <f>IF(selection!N4="","",selection!N4)</f>
        <v/>
      </c>
      <c r="U129">
        <f>IF(selection!H126=1,selection!M126,NA())</f>
        <v/>
      </c>
      <c r="V129">
        <f>IF(selection!H126=1,selection!N126,NA())</f>
        <v/>
      </c>
      <c r="W129">
        <f>IF(selection!H126=0,selection!M126,NA())</f>
        <v/>
      </c>
      <c r="X129">
        <f>IF(selection!H126=0,selection!N126,NA())</f>
        <v/>
      </c>
    </row>
    <row r="130">
      <c r="A130">
        <f>IF(selection!A5="","",selection!A5)</f>
        <v/>
      </c>
      <c r="B130">
        <f>IF(selection!B5="","",selection!B5)</f>
        <v/>
      </c>
      <c r="C130" s="7">
        <f>IF(selection!C5="","",selection!C5)</f>
        <v/>
      </c>
      <c r="D130" s="13">
        <f>IF(selection!D5="","",selection!D5)</f>
        <v/>
      </c>
      <c r="E130" s="10">
        <f>IF(selection!E5="","",selection!E5)</f>
        <v/>
      </c>
      <c r="F130" s="7">
        <f>IF(selection!F5="","",selection!F5)</f>
        <v/>
      </c>
      <c r="G130" s="14">
        <f>IF(selection!G5="","",selection!G5)</f>
        <v/>
      </c>
      <c r="H130" s="13">
        <f>IF(selection!H5="","",selection!H5)</f>
        <v/>
      </c>
      <c r="I130" s="13">
        <f>IF(selection!I5="","",selection!I5)</f>
        <v/>
      </c>
      <c r="J130" s="13">
        <f>IF(selection!J5="","",selection!J5)</f>
        <v/>
      </c>
      <c r="K130" s="11">
        <f>IF(selection!K5="","",selection!K5)</f>
        <v/>
      </c>
      <c r="L130" s="15">
        <f>IF(selection!L5="","",selection!L5)</f>
        <v/>
      </c>
      <c r="M130" s="7">
        <f>IF(selection!M5="","",selection!M5)</f>
        <v/>
      </c>
      <c r="N130" s="7">
        <f>IF(selection!N5="","",selection!N5)</f>
        <v/>
      </c>
      <c r="U130">
        <f>IF(selection!H127=1,selection!M127,NA())</f>
        <v/>
      </c>
      <c r="V130">
        <f>IF(selection!H127=1,selection!N127,NA())</f>
        <v/>
      </c>
      <c r="W130">
        <f>IF(selection!H127=0,selection!M127,NA())</f>
        <v/>
      </c>
      <c r="X130">
        <f>IF(selection!H127=0,selection!N127,NA())</f>
        <v/>
      </c>
    </row>
    <row r="131">
      <c r="A131">
        <f>IF(selection!A6="","",selection!A6)</f>
        <v/>
      </c>
      <c r="B131">
        <f>IF(selection!B6="","",selection!B6)</f>
        <v/>
      </c>
      <c r="C131" s="7">
        <f>IF(selection!C6="","",selection!C6)</f>
        <v/>
      </c>
      <c r="D131" s="13">
        <f>IF(selection!D6="","",selection!D6)</f>
        <v/>
      </c>
      <c r="E131" s="10">
        <f>IF(selection!E6="","",selection!E6)</f>
        <v/>
      </c>
      <c r="F131" s="7">
        <f>IF(selection!F6="","",selection!F6)</f>
        <v/>
      </c>
      <c r="G131" s="14">
        <f>IF(selection!G6="","",selection!G6)</f>
        <v/>
      </c>
      <c r="H131" s="13">
        <f>IF(selection!H6="","",selection!H6)</f>
        <v/>
      </c>
      <c r="I131" s="13">
        <f>IF(selection!I6="","",selection!I6)</f>
        <v/>
      </c>
      <c r="J131" s="13">
        <f>IF(selection!J6="","",selection!J6)</f>
        <v/>
      </c>
      <c r="K131" s="11">
        <f>IF(selection!K6="","",selection!K6)</f>
        <v/>
      </c>
      <c r="L131" s="15">
        <f>IF(selection!L6="","",selection!L6)</f>
        <v/>
      </c>
      <c r="M131" s="7">
        <f>IF(selection!M6="","",selection!M6)</f>
        <v/>
      </c>
      <c r="N131" s="7">
        <f>IF(selection!N6="","",selection!N6)</f>
        <v/>
      </c>
      <c r="U131">
        <f>IF(selection!H128=1,selection!M128,NA())</f>
        <v/>
      </c>
      <c r="V131">
        <f>IF(selection!H128=1,selection!N128,NA())</f>
        <v/>
      </c>
      <c r="W131">
        <f>IF(selection!H128=0,selection!M128,NA())</f>
        <v/>
      </c>
      <c r="X131">
        <f>IF(selection!H128=0,selection!N128,NA())</f>
        <v/>
      </c>
    </row>
    <row r="132">
      <c r="A132">
        <f>IF(selection!A7="","",selection!A7)</f>
        <v/>
      </c>
      <c r="B132">
        <f>IF(selection!B7="","",selection!B7)</f>
        <v/>
      </c>
      <c r="C132" s="7">
        <f>IF(selection!C7="","",selection!C7)</f>
        <v/>
      </c>
      <c r="D132" s="13">
        <f>IF(selection!D7="","",selection!D7)</f>
        <v/>
      </c>
      <c r="E132" s="10">
        <f>IF(selection!E7="","",selection!E7)</f>
        <v/>
      </c>
      <c r="F132" s="7">
        <f>IF(selection!F7="","",selection!F7)</f>
        <v/>
      </c>
      <c r="G132" s="14">
        <f>IF(selection!G7="","",selection!G7)</f>
        <v/>
      </c>
      <c r="H132" s="13">
        <f>IF(selection!H7="","",selection!H7)</f>
        <v/>
      </c>
      <c r="I132" s="13">
        <f>IF(selection!I7="","",selection!I7)</f>
        <v/>
      </c>
      <c r="J132" s="13">
        <f>IF(selection!J7="","",selection!J7)</f>
        <v/>
      </c>
      <c r="K132" s="11">
        <f>IF(selection!K7="","",selection!K7)</f>
        <v/>
      </c>
      <c r="L132" s="15">
        <f>IF(selection!L7="","",selection!L7)</f>
        <v/>
      </c>
      <c r="M132" s="7">
        <f>IF(selection!M7="","",selection!M7)</f>
        <v/>
      </c>
      <c r="N132" s="7">
        <f>IF(selection!N7="","",selection!N7)</f>
        <v/>
      </c>
      <c r="U132">
        <f>IF(selection!H129=1,selection!M129,NA())</f>
        <v/>
      </c>
      <c r="V132">
        <f>IF(selection!H129=1,selection!N129,NA())</f>
        <v/>
      </c>
      <c r="W132">
        <f>IF(selection!H129=0,selection!M129,NA())</f>
        <v/>
      </c>
      <c r="X132">
        <f>IF(selection!H129=0,selection!N129,NA())</f>
        <v/>
      </c>
    </row>
    <row r="133">
      <c r="A133">
        <f>IF(selection!A8="","",selection!A8)</f>
        <v/>
      </c>
      <c r="B133">
        <f>IF(selection!B8="","",selection!B8)</f>
        <v/>
      </c>
      <c r="C133" s="7">
        <f>IF(selection!C8="","",selection!C8)</f>
        <v/>
      </c>
      <c r="D133" s="13">
        <f>IF(selection!D8="","",selection!D8)</f>
        <v/>
      </c>
      <c r="E133" s="10">
        <f>IF(selection!E8="","",selection!E8)</f>
        <v/>
      </c>
      <c r="F133" s="7">
        <f>IF(selection!F8="","",selection!F8)</f>
        <v/>
      </c>
      <c r="G133" s="14">
        <f>IF(selection!G8="","",selection!G8)</f>
        <v/>
      </c>
      <c r="H133" s="13">
        <f>IF(selection!H8="","",selection!H8)</f>
        <v/>
      </c>
      <c r="I133" s="13">
        <f>IF(selection!I8="","",selection!I8)</f>
        <v/>
      </c>
      <c r="J133" s="13">
        <f>IF(selection!J8="","",selection!J8)</f>
        <v/>
      </c>
      <c r="K133" s="11">
        <f>IF(selection!K8="","",selection!K8)</f>
        <v/>
      </c>
      <c r="L133" s="15">
        <f>IF(selection!L8="","",selection!L8)</f>
        <v/>
      </c>
      <c r="M133" s="7">
        <f>IF(selection!M8="","",selection!M8)</f>
        <v/>
      </c>
      <c r="N133" s="7">
        <f>IF(selection!N8="","",selection!N8)</f>
        <v/>
      </c>
      <c r="U133">
        <f>IF(selection!H130=1,selection!M130,NA())</f>
        <v/>
      </c>
      <c r="V133">
        <f>IF(selection!H130=1,selection!N130,NA())</f>
        <v/>
      </c>
      <c r="W133">
        <f>IF(selection!H130=0,selection!M130,NA())</f>
        <v/>
      </c>
      <c r="X133">
        <f>IF(selection!H130=0,selection!N130,NA())</f>
        <v/>
      </c>
    </row>
    <row r="134">
      <c r="A134">
        <f>IF(selection!A9="","",selection!A9)</f>
        <v/>
      </c>
      <c r="B134">
        <f>IF(selection!B9="","",selection!B9)</f>
        <v/>
      </c>
      <c r="C134" s="7">
        <f>IF(selection!C9="","",selection!C9)</f>
        <v/>
      </c>
      <c r="D134" s="13">
        <f>IF(selection!D9="","",selection!D9)</f>
        <v/>
      </c>
      <c r="E134" s="10">
        <f>IF(selection!E9="","",selection!E9)</f>
        <v/>
      </c>
      <c r="F134" s="7">
        <f>IF(selection!F9="","",selection!F9)</f>
        <v/>
      </c>
      <c r="G134" s="14">
        <f>IF(selection!G9="","",selection!G9)</f>
        <v/>
      </c>
      <c r="H134" s="13">
        <f>IF(selection!H9="","",selection!H9)</f>
        <v/>
      </c>
      <c r="I134" s="13">
        <f>IF(selection!I9="","",selection!I9)</f>
        <v/>
      </c>
      <c r="J134" s="13">
        <f>IF(selection!J9="","",selection!J9)</f>
        <v/>
      </c>
      <c r="K134" s="11">
        <f>IF(selection!K9="","",selection!K9)</f>
        <v/>
      </c>
      <c r="L134" s="15">
        <f>IF(selection!L9="","",selection!L9)</f>
        <v/>
      </c>
      <c r="M134" s="7">
        <f>IF(selection!M9="","",selection!M9)</f>
        <v/>
      </c>
      <c r="N134" s="7">
        <f>IF(selection!N9="","",selection!N9)</f>
        <v/>
      </c>
      <c r="U134">
        <f>IF(selection!H131=1,selection!M131,NA())</f>
        <v/>
      </c>
      <c r="V134">
        <f>IF(selection!H131=1,selection!N131,NA())</f>
        <v/>
      </c>
      <c r="W134">
        <f>IF(selection!H131=0,selection!M131,NA())</f>
        <v/>
      </c>
      <c r="X134">
        <f>IF(selection!H131=0,selection!N131,NA())</f>
        <v/>
      </c>
    </row>
    <row r="135">
      <c r="A135">
        <f>IF(selection!A10="","",selection!A10)</f>
        <v/>
      </c>
      <c r="B135">
        <f>IF(selection!B10="","",selection!B10)</f>
        <v/>
      </c>
      <c r="C135" s="7">
        <f>IF(selection!C10="","",selection!C10)</f>
        <v/>
      </c>
      <c r="D135" s="13">
        <f>IF(selection!D10="","",selection!D10)</f>
        <v/>
      </c>
      <c r="E135" s="10">
        <f>IF(selection!E10="","",selection!E10)</f>
        <v/>
      </c>
      <c r="F135" s="7">
        <f>IF(selection!F10="","",selection!F10)</f>
        <v/>
      </c>
      <c r="G135" s="14">
        <f>IF(selection!G10="","",selection!G10)</f>
        <v/>
      </c>
      <c r="H135" s="13">
        <f>IF(selection!H10="","",selection!H10)</f>
        <v/>
      </c>
      <c r="I135" s="13">
        <f>IF(selection!I10="","",selection!I10)</f>
        <v/>
      </c>
      <c r="J135" s="13">
        <f>IF(selection!J10="","",selection!J10)</f>
        <v/>
      </c>
      <c r="K135" s="11">
        <f>IF(selection!K10="","",selection!K10)</f>
        <v/>
      </c>
      <c r="L135" s="15">
        <f>IF(selection!L10="","",selection!L10)</f>
        <v/>
      </c>
      <c r="M135" s="7">
        <f>IF(selection!M10="","",selection!M10)</f>
        <v/>
      </c>
      <c r="N135" s="7">
        <f>IF(selection!N10="","",selection!N10)</f>
        <v/>
      </c>
      <c r="U135">
        <f>IF(selection!H132=1,selection!M132,NA())</f>
        <v/>
      </c>
      <c r="V135">
        <f>IF(selection!H132=1,selection!N132,NA())</f>
        <v/>
      </c>
      <c r="W135">
        <f>IF(selection!H132=0,selection!M132,NA())</f>
        <v/>
      </c>
      <c r="X135">
        <f>IF(selection!H132=0,selection!N132,NA())</f>
        <v/>
      </c>
    </row>
    <row r="136">
      <c r="A136">
        <f>IF(selection!A11="","",selection!A11)</f>
        <v/>
      </c>
      <c r="B136">
        <f>IF(selection!B11="","",selection!B11)</f>
        <v/>
      </c>
      <c r="C136" s="7">
        <f>IF(selection!C11="","",selection!C11)</f>
        <v/>
      </c>
      <c r="D136" s="13">
        <f>IF(selection!D11="","",selection!D11)</f>
        <v/>
      </c>
      <c r="E136" s="10">
        <f>IF(selection!E11="","",selection!E11)</f>
        <v/>
      </c>
      <c r="F136" s="7">
        <f>IF(selection!F11="","",selection!F11)</f>
        <v/>
      </c>
      <c r="G136" s="14">
        <f>IF(selection!G11="","",selection!G11)</f>
        <v/>
      </c>
      <c r="H136" s="13">
        <f>IF(selection!H11="","",selection!H11)</f>
        <v/>
      </c>
      <c r="I136" s="13">
        <f>IF(selection!I11="","",selection!I11)</f>
        <v/>
      </c>
      <c r="J136" s="13">
        <f>IF(selection!J11="","",selection!J11)</f>
        <v/>
      </c>
      <c r="K136" s="11">
        <f>IF(selection!K11="","",selection!K11)</f>
        <v/>
      </c>
      <c r="L136" s="15">
        <f>IF(selection!L11="","",selection!L11)</f>
        <v/>
      </c>
      <c r="M136" s="7">
        <f>IF(selection!M11="","",selection!M11)</f>
        <v/>
      </c>
      <c r="N136" s="7">
        <f>IF(selection!N11="","",selection!N11)</f>
        <v/>
      </c>
      <c r="U136">
        <f>IF(selection!H133=1,selection!M133,NA())</f>
        <v/>
      </c>
      <c r="V136">
        <f>IF(selection!H133=1,selection!N133,NA())</f>
        <v/>
      </c>
      <c r="W136">
        <f>IF(selection!H133=0,selection!M133,NA())</f>
        <v/>
      </c>
      <c r="X136">
        <f>IF(selection!H133=0,selection!N133,NA())</f>
        <v/>
      </c>
    </row>
    <row r="137">
      <c r="A137">
        <f>IF(selection!A12="","",selection!A12)</f>
        <v/>
      </c>
      <c r="B137">
        <f>IF(selection!B12="","",selection!B12)</f>
        <v/>
      </c>
      <c r="C137" s="7">
        <f>IF(selection!C12="","",selection!C12)</f>
        <v/>
      </c>
      <c r="D137" s="13">
        <f>IF(selection!D12="","",selection!D12)</f>
        <v/>
      </c>
      <c r="E137" s="10">
        <f>IF(selection!E12="","",selection!E12)</f>
        <v/>
      </c>
      <c r="F137" s="7">
        <f>IF(selection!F12="","",selection!F12)</f>
        <v/>
      </c>
      <c r="G137" s="14">
        <f>IF(selection!G12="","",selection!G12)</f>
        <v/>
      </c>
      <c r="H137" s="13">
        <f>IF(selection!H12="","",selection!H12)</f>
        <v/>
      </c>
      <c r="I137" s="13">
        <f>IF(selection!I12="","",selection!I12)</f>
        <v/>
      </c>
      <c r="J137" s="13">
        <f>IF(selection!J12="","",selection!J12)</f>
        <v/>
      </c>
      <c r="K137" s="11">
        <f>IF(selection!K12="","",selection!K12)</f>
        <v/>
      </c>
      <c r="L137" s="15">
        <f>IF(selection!L12="","",selection!L12)</f>
        <v/>
      </c>
      <c r="M137" s="7">
        <f>IF(selection!M12="","",selection!M12)</f>
        <v/>
      </c>
      <c r="N137" s="7">
        <f>IF(selection!N12="","",selection!N12)</f>
        <v/>
      </c>
      <c r="U137">
        <f>IF(selection!H134=1,selection!M134,NA())</f>
        <v/>
      </c>
      <c r="V137">
        <f>IF(selection!H134=1,selection!N134,NA())</f>
        <v/>
      </c>
      <c r="W137">
        <f>IF(selection!H134=0,selection!M134,NA())</f>
        <v/>
      </c>
      <c r="X137">
        <f>IF(selection!H134=0,selection!N134,NA())</f>
        <v/>
      </c>
    </row>
    <row r="138">
      <c r="A138">
        <f>IF(selection!A13="","",selection!A13)</f>
        <v/>
      </c>
      <c r="B138">
        <f>IF(selection!B13="","",selection!B13)</f>
        <v/>
      </c>
      <c r="C138" s="7">
        <f>IF(selection!C13="","",selection!C13)</f>
        <v/>
      </c>
      <c r="D138" s="13">
        <f>IF(selection!D13="","",selection!D13)</f>
        <v/>
      </c>
      <c r="E138" s="10">
        <f>IF(selection!E13="","",selection!E13)</f>
        <v/>
      </c>
      <c r="F138" s="7">
        <f>IF(selection!F13="","",selection!F13)</f>
        <v/>
      </c>
      <c r="G138" s="14">
        <f>IF(selection!G13="","",selection!G13)</f>
        <v/>
      </c>
      <c r="H138" s="13">
        <f>IF(selection!H13="","",selection!H13)</f>
        <v/>
      </c>
      <c r="I138" s="13">
        <f>IF(selection!I13="","",selection!I13)</f>
        <v/>
      </c>
      <c r="J138" s="13">
        <f>IF(selection!J13="","",selection!J13)</f>
        <v/>
      </c>
      <c r="K138" s="11">
        <f>IF(selection!K13="","",selection!K13)</f>
        <v/>
      </c>
      <c r="L138" s="15">
        <f>IF(selection!L13="","",selection!L13)</f>
        <v/>
      </c>
      <c r="M138" s="7">
        <f>IF(selection!M13="","",selection!M13)</f>
        <v/>
      </c>
      <c r="N138" s="7">
        <f>IF(selection!N13="","",selection!N13)</f>
        <v/>
      </c>
      <c r="U138">
        <f>IF(selection!H135=1,selection!M135,NA())</f>
        <v/>
      </c>
      <c r="V138">
        <f>IF(selection!H135=1,selection!N135,NA())</f>
        <v/>
      </c>
      <c r="W138">
        <f>IF(selection!H135=0,selection!M135,NA())</f>
        <v/>
      </c>
      <c r="X138">
        <f>IF(selection!H135=0,selection!N135,NA())</f>
        <v/>
      </c>
    </row>
    <row r="139">
      <c r="A139">
        <f>IF(selection!A14="","",selection!A14)</f>
        <v/>
      </c>
      <c r="B139">
        <f>IF(selection!B14="","",selection!B14)</f>
        <v/>
      </c>
      <c r="C139" s="7">
        <f>IF(selection!C14="","",selection!C14)</f>
        <v/>
      </c>
      <c r="D139" s="13">
        <f>IF(selection!D14="","",selection!D14)</f>
        <v/>
      </c>
      <c r="E139" s="10">
        <f>IF(selection!E14="","",selection!E14)</f>
        <v/>
      </c>
      <c r="F139" s="7">
        <f>IF(selection!F14="","",selection!F14)</f>
        <v/>
      </c>
      <c r="G139" s="14">
        <f>IF(selection!G14="","",selection!G14)</f>
        <v/>
      </c>
      <c r="H139" s="13">
        <f>IF(selection!H14="","",selection!H14)</f>
        <v/>
      </c>
      <c r="I139" s="13">
        <f>IF(selection!I14="","",selection!I14)</f>
        <v/>
      </c>
      <c r="J139" s="13">
        <f>IF(selection!J14="","",selection!J14)</f>
        <v/>
      </c>
      <c r="K139" s="11">
        <f>IF(selection!K14="","",selection!K14)</f>
        <v/>
      </c>
      <c r="L139" s="15">
        <f>IF(selection!L14="","",selection!L14)</f>
        <v/>
      </c>
      <c r="M139" s="7">
        <f>IF(selection!M14="","",selection!M14)</f>
        <v/>
      </c>
      <c r="N139" s="7">
        <f>IF(selection!N14="","",selection!N14)</f>
        <v/>
      </c>
      <c r="U139">
        <f>IF(selection!H136=1,selection!M136,NA())</f>
        <v/>
      </c>
      <c r="V139">
        <f>IF(selection!H136=1,selection!N136,NA())</f>
        <v/>
      </c>
      <c r="W139">
        <f>IF(selection!H136=0,selection!M136,NA())</f>
        <v/>
      </c>
      <c r="X139">
        <f>IF(selection!H136=0,selection!N136,NA())</f>
        <v/>
      </c>
    </row>
    <row r="140">
      <c r="A140">
        <f>IF(selection!A15="","",selection!A15)</f>
        <v/>
      </c>
      <c r="B140">
        <f>IF(selection!B15="","",selection!B15)</f>
        <v/>
      </c>
      <c r="C140" s="7">
        <f>IF(selection!C15="","",selection!C15)</f>
        <v/>
      </c>
      <c r="D140" s="13">
        <f>IF(selection!D15="","",selection!D15)</f>
        <v/>
      </c>
      <c r="E140" s="10">
        <f>IF(selection!E15="","",selection!E15)</f>
        <v/>
      </c>
      <c r="F140" s="7">
        <f>IF(selection!F15="","",selection!F15)</f>
        <v/>
      </c>
      <c r="G140" s="14">
        <f>IF(selection!G15="","",selection!G15)</f>
        <v/>
      </c>
      <c r="H140" s="13">
        <f>IF(selection!H15="","",selection!H15)</f>
        <v/>
      </c>
      <c r="I140" s="13">
        <f>IF(selection!I15="","",selection!I15)</f>
        <v/>
      </c>
      <c r="J140" s="13">
        <f>IF(selection!J15="","",selection!J15)</f>
        <v/>
      </c>
      <c r="K140" s="11">
        <f>IF(selection!K15="","",selection!K15)</f>
        <v/>
      </c>
      <c r="L140" s="15">
        <f>IF(selection!L15="","",selection!L15)</f>
        <v/>
      </c>
      <c r="M140" s="7">
        <f>IF(selection!M15="","",selection!M15)</f>
        <v/>
      </c>
      <c r="N140" s="7">
        <f>IF(selection!N15="","",selection!N15)</f>
        <v/>
      </c>
      <c r="U140">
        <f>IF(selection!H137=1,selection!M137,NA())</f>
        <v/>
      </c>
      <c r="V140">
        <f>IF(selection!H137=1,selection!N137,NA())</f>
        <v/>
      </c>
      <c r="W140">
        <f>IF(selection!H137=0,selection!M137,NA())</f>
        <v/>
      </c>
      <c r="X140">
        <f>IF(selection!H137=0,selection!N137,NA())</f>
        <v/>
      </c>
    </row>
    <row r="141">
      <c r="A141">
        <f>IF(selection!A16="","",selection!A16)</f>
        <v/>
      </c>
      <c r="B141">
        <f>IF(selection!B16="","",selection!B16)</f>
        <v/>
      </c>
      <c r="C141" s="7">
        <f>IF(selection!C16="","",selection!C16)</f>
        <v/>
      </c>
      <c r="D141" s="13">
        <f>IF(selection!D16="","",selection!D16)</f>
        <v/>
      </c>
      <c r="E141" s="10">
        <f>IF(selection!E16="","",selection!E16)</f>
        <v/>
      </c>
      <c r="F141" s="7">
        <f>IF(selection!F16="","",selection!F16)</f>
        <v/>
      </c>
      <c r="G141" s="14">
        <f>IF(selection!G16="","",selection!G16)</f>
        <v/>
      </c>
      <c r="H141" s="13">
        <f>IF(selection!H16="","",selection!H16)</f>
        <v/>
      </c>
      <c r="I141" s="13">
        <f>IF(selection!I16="","",selection!I16)</f>
        <v/>
      </c>
      <c r="J141" s="13">
        <f>IF(selection!J16="","",selection!J16)</f>
        <v/>
      </c>
      <c r="K141" s="11">
        <f>IF(selection!K16="","",selection!K16)</f>
        <v/>
      </c>
      <c r="L141" s="15">
        <f>IF(selection!L16="","",selection!L16)</f>
        <v/>
      </c>
      <c r="M141" s="7">
        <f>IF(selection!M16="","",selection!M16)</f>
        <v/>
      </c>
      <c r="N141" s="7">
        <f>IF(selection!N16="","",selection!N16)</f>
        <v/>
      </c>
      <c r="U141">
        <f>IF(selection!H138=1,selection!M138,NA())</f>
        <v/>
      </c>
      <c r="V141">
        <f>IF(selection!H138=1,selection!N138,NA())</f>
        <v/>
      </c>
      <c r="W141">
        <f>IF(selection!H138=0,selection!M138,NA())</f>
        <v/>
      </c>
      <c r="X141">
        <f>IF(selection!H138=0,selection!N138,NA())</f>
        <v/>
      </c>
    </row>
    <row r="142">
      <c r="A142">
        <f>IF(selection!A17="","",selection!A17)</f>
        <v/>
      </c>
      <c r="B142">
        <f>IF(selection!B17="","",selection!B17)</f>
        <v/>
      </c>
      <c r="C142" s="7">
        <f>IF(selection!C17="","",selection!C17)</f>
        <v/>
      </c>
      <c r="D142" s="13">
        <f>IF(selection!D17="","",selection!D17)</f>
        <v/>
      </c>
      <c r="E142" s="10">
        <f>IF(selection!E17="","",selection!E17)</f>
        <v/>
      </c>
      <c r="F142" s="7">
        <f>IF(selection!F17="","",selection!F17)</f>
        <v/>
      </c>
      <c r="G142" s="14">
        <f>IF(selection!G17="","",selection!G17)</f>
        <v/>
      </c>
      <c r="H142" s="13">
        <f>IF(selection!H17="","",selection!H17)</f>
        <v/>
      </c>
      <c r="I142" s="13">
        <f>IF(selection!I17="","",selection!I17)</f>
        <v/>
      </c>
      <c r="J142" s="13">
        <f>IF(selection!J17="","",selection!J17)</f>
        <v/>
      </c>
      <c r="K142" s="11">
        <f>IF(selection!K17="","",selection!K17)</f>
        <v/>
      </c>
      <c r="L142" s="15">
        <f>IF(selection!L17="","",selection!L17)</f>
        <v/>
      </c>
      <c r="M142" s="7">
        <f>IF(selection!M17="","",selection!M17)</f>
        <v/>
      </c>
      <c r="N142" s="7">
        <f>IF(selection!N17="","",selection!N17)</f>
        <v/>
      </c>
      <c r="U142">
        <f>IF(selection!H139=1,selection!M139,NA())</f>
        <v/>
      </c>
      <c r="V142">
        <f>IF(selection!H139=1,selection!N139,NA())</f>
        <v/>
      </c>
      <c r="W142">
        <f>IF(selection!H139=0,selection!M139,NA())</f>
        <v/>
      </c>
      <c r="X142">
        <f>IF(selection!H139=0,selection!N139,NA())</f>
        <v/>
      </c>
    </row>
    <row r="143">
      <c r="A143">
        <f>IF(selection!A18="","",selection!A18)</f>
        <v/>
      </c>
      <c r="B143">
        <f>IF(selection!B18="","",selection!B18)</f>
        <v/>
      </c>
      <c r="C143" s="7">
        <f>IF(selection!C18="","",selection!C18)</f>
        <v/>
      </c>
      <c r="D143" s="13">
        <f>IF(selection!D18="","",selection!D18)</f>
        <v/>
      </c>
      <c r="E143" s="10">
        <f>IF(selection!E18="","",selection!E18)</f>
        <v/>
      </c>
      <c r="F143" s="7">
        <f>IF(selection!F18="","",selection!F18)</f>
        <v/>
      </c>
      <c r="G143" s="14">
        <f>IF(selection!G18="","",selection!G18)</f>
        <v/>
      </c>
      <c r="H143" s="13">
        <f>IF(selection!H18="","",selection!H18)</f>
        <v/>
      </c>
      <c r="I143" s="13">
        <f>IF(selection!I18="","",selection!I18)</f>
        <v/>
      </c>
      <c r="J143" s="13">
        <f>IF(selection!J18="","",selection!J18)</f>
        <v/>
      </c>
      <c r="K143" s="11">
        <f>IF(selection!K18="","",selection!K18)</f>
        <v/>
      </c>
      <c r="L143" s="15">
        <f>IF(selection!L18="","",selection!L18)</f>
        <v/>
      </c>
      <c r="M143" s="7">
        <f>IF(selection!M18="","",selection!M18)</f>
        <v/>
      </c>
      <c r="N143" s="7">
        <f>IF(selection!N18="","",selection!N18)</f>
        <v/>
      </c>
      <c r="U143">
        <f>IF(selection!H140=1,selection!M140,NA())</f>
        <v/>
      </c>
      <c r="V143">
        <f>IF(selection!H140=1,selection!N140,NA())</f>
        <v/>
      </c>
      <c r="W143">
        <f>IF(selection!H140=0,selection!M140,NA())</f>
        <v/>
      </c>
      <c r="X143">
        <f>IF(selection!H140=0,selection!N140,NA())</f>
        <v/>
      </c>
    </row>
    <row r="144">
      <c r="A144">
        <f>IF(selection!A19="","",selection!A19)</f>
        <v/>
      </c>
      <c r="B144">
        <f>IF(selection!B19="","",selection!B19)</f>
        <v/>
      </c>
      <c r="C144" s="7">
        <f>IF(selection!C19="","",selection!C19)</f>
        <v/>
      </c>
      <c r="D144" s="13">
        <f>IF(selection!D19="","",selection!D19)</f>
        <v/>
      </c>
      <c r="E144" s="10">
        <f>IF(selection!E19="","",selection!E19)</f>
        <v/>
      </c>
      <c r="F144" s="7">
        <f>IF(selection!F19="","",selection!F19)</f>
        <v/>
      </c>
      <c r="G144" s="14">
        <f>IF(selection!G19="","",selection!G19)</f>
        <v/>
      </c>
      <c r="H144" s="13">
        <f>IF(selection!H19="","",selection!H19)</f>
        <v/>
      </c>
      <c r="I144" s="13">
        <f>IF(selection!I19="","",selection!I19)</f>
        <v/>
      </c>
      <c r="J144" s="13">
        <f>IF(selection!J19="","",selection!J19)</f>
        <v/>
      </c>
      <c r="K144" s="11">
        <f>IF(selection!K19="","",selection!K19)</f>
        <v/>
      </c>
      <c r="L144" s="15">
        <f>IF(selection!L19="","",selection!L19)</f>
        <v/>
      </c>
      <c r="M144" s="7">
        <f>IF(selection!M19="","",selection!M19)</f>
        <v/>
      </c>
      <c r="N144" s="7">
        <f>IF(selection!N19="","",selection!N19)</f>
        <v/>
      </c>
      <c r="U144">
        <f>IF(selection!H141=1,selection!M141,NA())</f>
        <v/>
      </c>
      <c r="V144">
        <f>IF(selection!H141=1,selection!N141,NA())</f>
        <v/>
      </c>
      <c r="W144">
        <f>IF(selection!H141=0,selection!M141,NA())</f>
        <v/>
      </c>
      <c r="X144">
        <f>IF(selection!H141=0,selection!N141,NA())</f>
        <v/>
      </c>
    </row>
    <row r="145">
      <c r="A145">
        <f>IF(selection!A20="","",selection!A20)</f>
        <v/>
      </c>
      <c r="B145">
        <f>IF(selection!B20="","",selection!B20)</f>
        <v/>
      </c>
      <c r="C145" s="7">
        <f>IF(selection!C20="","",selection!C20)</f>
        <v/>
      </c>
      <c r="D145" s="13">
        <f>IF(selection!D20="","",selection!D20)</f>
        <v/>
      </c>
      <c r="E145" s="10">
        <f>IF(selection!E20="","",selection!E20)</f>
        <v/>
      </c>
      <c r="F145" s="7">
        <f>IF(selection!F20="","",selection!F20)</f>
        <v/>
      </c>
      <c r="G145" s="14">
        <f>IF(selection!G20="","",selection!G20)</f>
        <v/>
      </c>
      <c r="H145" s="13">
        <f>IF(selection!H20="","",selection!H20)</f>
        <v/>
      </c>
      <c r="I145" s="13">
        <f>IF(selection!I20="","",selection!I20)</f>
        <v/>
      </c>
      <c r="J145" s="13">
        <f>IF(selection!J20="","",selection!J20)</f>
        <v/>
      </c>
      <c r="K145" s="11">
        <f>IF(selection!K20="","",selection!K20)</f>
        <v/>
      </c>
      <c r="L145" s="15">
        <f>IF(selection!L20="","",selection!L20)</f>
        <v/>
      </c>
      <c r="M145" s="7">
        <f>IF(selection!M20="","",selection!M20)</f>
        <v/>
      </c>
      <c r="N145" s="7">
        <f>IF(selection!N20="","",selection!N20)</f>
        <v/>
      </c>
      <c r="U145">
        <f>IF(selection!H142=1,selection!M142,NA())</f>
        <v/>
      </c>
      <c r="V145">
        <f>IF(selection!H142=1,selection!N142,NA())</f>
        <v/>
      </c>
      <c r="W145">
        <f>IF(selection!H142=0,selection!M142,NA())</f>
        <v/>
      </c>
      <c r="X145">
        <f>IF(selection!H142=0,selection!N142,NA())</f>
        <v/>
      </c>
    </row>
    <row r="146">
      <c r="A146">
        <f>IF(selection!A21="","",selection!A21)</f>
        <v/>
      </c>
      <c r="B146">
        <f>IF(selection!B21="","",selection!B21)</f>
        <v/>
      </c>
      <c r="C146" s="7">
        <f>IF(selection!C21="","",selection!C21)</f>
        <v/>
      </c>
      <c r="D146" s="13">
        <f>IF(selection!D21="","",selection!D21)</f>
        <v/>
      </c>
      <c r="E146" s="10">
        <f>IF(selection!E21="","",selection!E21)</f>
        <v/>
      </c>
      <c r="F146" s="7">
        <f>IF(selection!F21="","",selection!F21)</f>
        <v/>
      </c>
      <c r="G146" s="14">
        <f>IF(selection!G21="","",selection!G21)</f>
        <v/>
      </c>
      <c r="H146" s="13">
        <f>IF(selection!H21="","",selection!H21)</f>
        <v/>
      </c>
      <c r="I146" s="13">
        <f>IF(selection!I21="","",selection!I21)</f>
        <v/>
      </c>
      <c r="J146" s="13">
        <f>IF(selection!J21="","",selection!J21)</f>
        <v/>
      </c>
      <c r="K146" s="11">
        <f>IF(selection!K21="","",selection!K21)</f>
        <v/>
      </c>
      <c r="L146" s="15">
        <f>IF(selection!L21="","",selection!L21)</f>
        <v/>
      </c>
      <c r="M146" s="7">
        <f>IF(selection!M21="","",selection!M21)</f>
        <v/>
      </c>
      <c r="N146" s="7">
        <f>IF(selection!N21="","",selection!N21)</f>
        <v/>
      </c>
      <c r="U146">
        <f>IF(selection!H143=1,selection!M143,NA())</f>
        <v/>
      </c>
      <c r="V146">
        <f>IF(selection!H143=1,selection!N143,NA())</f>
        <v/>
      </c>
      <c r="W146">
        <f>IF(selection!H143=0,selection!M143,NA())</f>
        <v/>
      </c>
      <c r="X146">
        <f>IF(selection!H143=0,selection!N143,NA())</f>
        <v/>
      </c>
    </row>
    <row r="147">
      <c r="A147">
        <f>IF(selection!A22="","",selection!A22)</f>
        <v/>
      </c>
      <c r="B147">
        <f>IF(selection!B22="","",selection!B22)</f>
        <v/>
      </c>
      <c r="C147" s="7">
        <f>IF(selection!C22="","",selection!C22)</f>
        <v/>
      </c>
      <c r="D147" s="13">
        <f>IF(selection!D22="","",selection!D22)</f>
        <v/>
      </c>
      <c r="E147" s="10">
        <f>IF(selection!E22="","",selection!E22)</f>
        <v/>
      </c>
      <c r="F147" s="7">
        <f>IF(selection!F22="","",selection!F22)</f>
        <v/>
      </c>
      <c r="G147" s="14">
        <f>IF(selection!G22="","",selection!G22)</f>
        <v/>
      </c>
      <c r="H147" s="13">
        <f>IF(selection!H22="","",selection!H22)</f>
        <v/>
      </c>
      <c r="I147" s="13">
        <f>IF(selection!I22="","",selection!I22)</f>
        <v/>
      </c>
      <c r="J147" s="13">
        <f>IF(selection!J22="","",selection!J22)</f>
        <v/>
      </c>
      <c r="K147" s="11">
        <f>IF(selection!K22="","",selection!K22)</f>
        <v/>
      </c>
      <c r="L147" s="15">
        <f>IF(selection!L22="","",selection!L22)</f>
        <v/>
      </c>
      <c r="M147" s="7">
        <f>IF(selection!M22="","",selection!M22)</f>
        <v/>
      </c>
      <c r="N147" s="7">
        <f>IF(selection!N22="","",selection!N22)</f>
        <v/>
      </c>
      <c r="U147">
        <f>IF(selection!H144=1,selection!M144,NA())</f>
        <v/>
      </c>
      <c r="V147">
        <f>IF(selection!H144=1,selection!N144,NA())</f>
        <v/>
      </c>
      <c r="W147">
        <f>IF(selection!H144=0,selection!M144,NA())</f>
        <v/>
      </c>
      <c r="X147">
        <f>IF(selection!H144=0,selection!N144,NA())</f>
        <v/>
      </c>
    </row>
    <row r="148">
      <c r="A148">
        <f>IF(selection!A23="","",selection!A23)</f>
        <v/>
      </c>
      <c r="B148">
        <f>IF(selection!B23="","",selection!B23)</f>
        <v/>
      </c>
      <c r="C148" s="7">
        <f>IF(selection!C23="","",selection!C23)</f>
        <v/>
      </c>
      <c r="D148" s="13">
        <f>IF(selection!D23="","",selection!D23)</f>
        <v/>
      </c>
      <c r="E148" s="10">
        <f>IF(selection!E23="","",selection!E23)</f>
        <v/>
      </c>
      <c r="F148" s="7">
        <f>IF(selection!F23="","",selection!F23)</f>
        <v/>
      </c>
      <c r="G148" s="14">
        <f>IF(selection!G23="","",selection!G23)</f>
        <v/>
      </c>
      <c r="H148" s="13">
        <f>IF(selection!H23="","",selection!H23)</f>
        <v/>
      </c>
      <c r="I148" s="13">
        <f>IF(selection!I23="","",selection!I23)</f>
        <v/>
      </c>
      <c r="J148" s="13">
        <f>IF(selection!J23="","",selection!J23)</f>
        <v/>
      </c>
      <c r="K148" s="11">
        <f>IF(selection!K23="","",selection!K23)</f>
        <v/>
      </c>
      <c r="L148" s="15">
        <f>IF(selection!L23="","",selection!L23)</f>
        <v/>
      </c>
      <c r="M148" s="7">
        <f>IF(selection!M23="","",selection!M23)</f>
        <v/>
      </c>
      <c r="N148" s="7">
        <f>IF(selection!N23="","",selection!N23)</f>
        <v/>
      </c>
      <c r="U148">
        <f>IF(selection!H145=1,selection!M145,NA())</f>
        <v/>
      </c>
      <c r="V148">
        <f>IF(selection!H145=1,selection!N145,NA())</f>
        <v/>
      </c>
      <c r="W148">
        <f>IF(selection!H145=0,selection!M145,NA())</f>
        <v/>
      </c>
      <c r="X148">
        <f>IF(selection!H145=0,selection!N145,NA())</f>
        <v/>
      </c>
    </row>
    <row r="149">
      <c r="A149">
        <f>IF(selection!A24="","",selection!A24)</f>
        <v/>
      </c>
      <c r="B149">
        <f>IF(selection!B24="","",selection!B24)</f>
        <v/>
      </c>
      <c r="C149" s="7">
        <f>IF(selection!C24="","",selection!C24)</f>
        <v/>
      </c>
      <c r="D149" s="13">
        <f>IF(selection!D24="","",selection!D24)</f>
        <v/>
      </c>
      <c r="E149" s="10">
        <f>IF(selection!E24="","",selection!E24)</f>
        <v/>
      </c>
      <c r="F149" s="7">
        <f>IF(selection!F24="","",selection!F24)</f>
        <v/>
      </c>
      <c r="G149" s="14">
        <f>IF(selection!G24="","",selection!G24)</f>
        <v/>
      </c>
      <c r="H149" s="13">
        <f>IF(selection!H24="","",selection!H24)</f>
        <v/>
      </c>
      <c r="I149" s="13">
        <f>IF(selection!I24="","",selection!I24)</f>
        <v/>
      </c>
      <c r="J149" s="13">
        <f>IF(selection!J24="","",selection!J24)</f>
        <v/>
      </c>
      <c r="K149" s="11">
        <f>IF(selection!K24="","",selection!K24)</f>
        <v/>
      </c>
      <c r="L149" s="15">
        <f>IF(selection!L24="","",selection!L24)</f>
        <v/>
      </c>
      <c r="M149" s="7">
        <f>IF(selection!M24="","",selection!M24)</f>
        <v/>
      </c>
      <c r="N149" s="7">
        <f>IF(selection!N24="","",selection!N24)</f>
        <v/>
      </c>
      <c r="U149">
        <f>IF(selection!H146=1,selection!M146,NA())</f>
        <v/>
      </c>
      <c r="V149">
        <f>IF(selection!H146=1,selection!N146,NA())</f>
        <v/>
      </c>
      <c r="W149">
        <f>IF(selection!H146=0,selection!M146,NA())</f>
        <v/>
      </c>
      <c r="X149">
        <f>IF(selection!H146=0,selection!N146,NA())</f>
        <v/>
      </c>
    </row>
    <row r="150">
      <c r="A150">
        <f>IF(selection!A25="","",selection!A25)</f>
        <v/>
      </c>
      <c r="B150">
        <f>IF(selection!B25="","",selection!B25)</f>
        <v/>
      </c>
      <c r="C150" s="7">
        <f>IF(selection!C25="","",selection!C25)</f>
        <v/>
      </c>
      <c r="D150" s="13">
        <f>IF(selection!D25="","",selection!D25)</f>
        <v/>
      </c>
      <c r="E150" s="10">
        <f>IF(selection!E25="","",selection!E25)</f>
        <v/>
      </c>
      <c r="F150" s="7">
        <f>IF(selection!F25="","",selection!F25)</f>
        <v/>
      </c>
      <c r="G150" s="14">
        <f>IF(selection!G25="","",selection!G25)</f>
        <v/>
      </c>
      <c r="H150" s="13">
        <f>IF(selection!H25="","",selection!H25)</f>
        <v/>
      </c>
      <c r="I150" s="13">
        <f>IF(selection!I25="","",selection!I25)</f>
        <v/>
      </c>
      <c r="J150" s="13">
        <f>IF(selection!J25="","",selection!J25)</f>
        <v/>
      </c>
      <c r="K150" s="11">
        <f>IF(selection!K25="","",selection!K25)</f>
        <v/>
      </c>
      <c r="L150" s="15">
        <f>IF(selection!L25="","",selection!L25)</f>
        <v/>
      </c>
      <c r="M150" s="7">
        <f>IF(selection!M25="","",selection!M25)</f>
        <v/>
      </c>
      <c r="N150" s="7">
        <f>IF(selection!N25="","",selection!N25)</f>
        <v/>
      </c>
      <c r="U150">
        <f>IF(selection!H147=1,selection!M147,NA())</f>
        <v/>
      </c>
      <c r="V150">
        <f>IF(selection!H147=1,selection!N147,NA())</f>
        <v/>
      </c>
      <c r="W150">
        <f>IF(selection!H147=0,selection!M147,NA())</f>
        <v/>
      </c>
      <c r="X150">
        <f>IF(selection!H147=0,selection!N147,NA())</f>
        <v/>
      </c>
    </row>
    <row r="151">
      <c r="A151">
        <f>IF(selection!A26="","",selection!A26)</f>
        <v/>
      </c>
      <c r="B151">
        <f>IF(selection!B26="","",selection!B26)</f>
        <v/>
      </c>
      <c r="C151" s="7">
        <f>IF(selection!C26="","",selection!C26)</f>
        <v/>
      </c>
      <c r="D151" s="13">
        <f>IF(selection!D26="","",selection!D26)</f>
        <v/>
      </c>
      <c r="E151" s="10">
        <f>IF(selection!E26="","",selection!E26)</f>
        <v/>
      </c>
      <c r="F151" s="7">
        <f>IF(selection!F26="","",selection!F26)</f>
        <v/>
      </c>
      <c r="G151" s="14">
        <f>IF(selection!G26="","",selection!G26)</f>
        <v/>
      </c>
      <c r="H151" s="13">
        <f>IF(selection!H26="","",selection!H26)</f>
        <v/>
      </c>
      <c r="I151" s="13">
        <f>IF(selection!I26="","",selection!I26)</f>
        <v/>
      </c>
      <c r="J151" s="13">
        <f>IF(selection!J26="","",selection!J26)</f>
        <v/>
      </c>
      <c r="K151" s="11">
        <f>IF(selection!K26="","",selection!K26)</f>
        <v/>
      </c>
      <c r="L151" s="15">
        <f>IF(selection!L26="","",selection!L26)</f>
        <v/>
      </c>
      <c r="M151" s="7">
        <f>IF(selection!M26="","",selection!M26)</f>
        <v/>
      </c>
      <c r="N151" s="7">
        <f>IF(selection!N26="","",selection!N26)</f>
        <v/>
      </c>
      <c r="U151">
        <f>IF(selection!H148=1,selection!M148,NA())</f>
        <v/>
      </c>
      <c r="V151">
        <f>IF(selection!H148=1,selection!N148,NA())</f>
        <v/>
      </c>
      <c r="W151">
        <f>IF(selection!H148=0,selection!M148,NA())</f>
        <v/>
      </c>
      <c r="X151">
        <f>IF(selection!H148=0,selection!N148,NA())</f>
        <v/>
      </c>
    </row>
    <row r="152">
      <c r="A152">
        <f>IF(selection!A27="","",selection!A27)</f>
        <v/>
      </c>
      <c r="B152">
        <f>IF(selection!B27="","",selection!B27)</f>
        <v/>
      </c>
      <c r="C152" s="7">
        <f>IF(selection!C27="","",selection!C27)</f>
        <v/>
      </c>
      <c r="D152" s="13">
        <f>IF(selection!D27="","",selection!D27)</f>
        <v/>
      </c>
      <c r="E152" s="10">
        <f>IF(selection!E27="","",selection!E27)</f>
        <v/>
      </c>
      <c r="F152" s="7">
        <f>IF(selection!F27="","",selection!F27)</f>
        <v/>
      </c>
      <c r="G152" s="14">
        <f>IF(selection!G27="","",selection!G27)</f>
        <v/>
      </c>
      <c r="H152" s="13">
        <f>IF(selection!H27="","",selection!H27)</f>
        <v/>
      </c>
      <c r="I152" s="13">
        <f>IF(selection!I27="","",selection!I27)</f>
        <v/>
      </c>
      <c r="J152" s="13">
        <f>IF(selection!J27="","",selection!J27)</f>
        <v/>
      </c>
      <c r="K152" s="11">
        <f>IF(selection!K27="","",selection!K27)</f>
        <v/>
      </c>
      <c r="L152" s="15">
        <f>IF(selection!L27="","",selection!L27)</f>
        <v/>
      </c>
      <c r="M152" s="7">
        <f>IF(selection!M27="","",selection!M27)</f>
        <v/>
      </c>
      <c r="N152" s="7">
        <f>IF(selection!N27="","",selection!N27)</f>
        <v/>
      </c>
      <c r="U152">
        <f>IF(selection!H149=1,selection!M149,NA())</f>
        <v/>
      </c>
      <c r="V152">
        <f>IF(selection!H149=1,selection!N149,NA())</f>
        <v/>
      </c>
      <c r="W152">
        <f>IF(selection!H149=0,selection!M149,NA())</f>
        <v/>
      </c>
      <c r="X152">
        <f>IF(selection!H149=0,selection!N149,NA())</f>
        <v/>
      </c>
    </row>
    <row r="153">
      <c r="A153">
        <f>IF(selection!A28="","",selection!A28)</f>
        <v/>
      </c>
      <c r="B153">
        <f>IF(selection!B28="","",selection!B28)</f>
        <v/>
      </c>
      <c r="C153" s="7">
        <f>IF(selection!C28="","",selection!C28)</f>
        <v/>
      </c>
      <c r="D153" s="13">
        <f>IF(selection!D28="","",selection!D28)</f>
        <v/>
      </c>
      <c r="E153" s="10">
        <f>IF(selection!E28="","",selection!E28)</f>
        <v/>
      </c>
      <c r="F153" s="7">
        <f>IF(selection!F28="","",selection!F28)</f>
        <v/>
      </c>
      <c r="G153" s="14">
        <f>IF(selection!G28="","",selection!G28)</f>
        <v/>
      </c>
      <c r="H153" s="13">
        <f>IF(selection!H28="","",selection!H28)</f>
        <v/>
      </c>
      <c r="I153" s="13">
        <f>IF(selection!I28="","",selection!I28)</f>
        <v/>
      </c>
      <c r="J153" s="13">
        <f>IF(selection!J28="","",selection!J28)</f>
        <v/>
      </c>
      <c r="K153" s="11">
        <f>IF(selection!K28="","",selection!K28)</f>
        <v/>
      </c>
      <c r="L153" s="15">
        <f>IF(selection!L28="","",selection!L28)</f>
        <v/>
      </c>
      <c r="M153" s="7">
        <f>IF(selection!M28="","",selection!M28)</f>
        <v/>
      </c>
      <c r="N153" s="7">
        <f>IF(selection!N28="","",selection!N28)</f>
        <v/>
      </c>
      <c r="U153">
        <f>IF(selection!H150=1,selection!M150,NA())</f>
        <v/>
      </c>
      <c r="V153">
        <f>IF(selection!H150=1,selection!N150,NA())</f>
        <v/>
      </c>
      <c r="W153">
        <f>IF(selection!H150=0,selection!M150,NA())</f>
        <v/>
      </c>
      <c r="X153">
        <f>IF(selection!H150=0,selection!N150,NA())</f>
        <v/>
      </c>
    </row>
    <row r="154">
      <c r="A154">
        <f>IF(selection!A29="","",selection!A29)</f>
        <v/>
      </c>
      <c r="B154">
        <f>IF(selection!B29="","",selection!B29)</f>
        <v/>
      </c>
      <c r="C154" s="7">
        <f>IF(selection!C29="","",selection!C29)</f>
        <v/>
      </c>
      <c r="D154" s="13">
        <f>IF(selection!D29="","",selection!D29)</f>
        <v/>
      </c>
      <c r="E154" s="10">
        <f>IF(selection!E29="","",selection!E29)</f>
        <v/>
      </c>
      <c r="F154" s="7">
        <f>IF(selection!F29="","",selection!F29)</f>
        <v/>
      </c>
      <c r="G154" s="14">
        <f>IF(selection!G29="","",selection!G29)</f>
        <v/>
      </c>
      <c r="H154" s="13">
        <f>IF(selection!H29="","",selection!H29)</f>
        <v/>
      </c>
      <c r="I154" s="13">
        <f>IF(selection!I29="","",selection!I29)</f>
        <v/>
      </c>
      <c r="J154" s="13">
        <f>IF(selection!J29="","",selection!J29)</f>
        <v/>
      </c>
      <c r="K154" s="11">
        <f>IF(selection!K29="","",selection!K29)</f>
        <v/>
      </c>
      <c r="L154" s="15">
        <f>IF(selection!L29="","",selection!L29)</f>
        <v/>
      </c>
      <c r="M154" s="7">
        <f>IF(selection!M29="","",selection!M29)</f>
        <v/>
      </c>
      <c r="N154" s="7">
        <f>IF(selection!N29="","",selection!N29)</f>
        <v/>
      </c>
      <c r="U154">
        <f>IF(selection!H151=1,selection!M151,NA())</f>
        <v/>
      </c>
      <c r="V154">
        <f>IF(selection!H151=1,selection!N151,NA())</f>
        <v/>
      </c>
      <c r="W154">
        <f>IF(selection!H151=0,selection!M151,NA())</f>
        <v/>
      </c>
      <c r="X154">
        <f>IF(selection!H151=0,selection!N151,NA())</f>
        <v/>
      </c>
    </row>
    <row r="155">
      <c r="A155">
        <f>IF(selection!A30="","",selection!A30)</f>
        <v/>
      </c>
      <c r="B155">
        <f>IF(selection!B30="","",selection!B30)</f>
        <v/>
      </c>
      <c r="C155" s="7">
        <f>IF(selection!C30="","",selection!C30)</f>
        <v/>
      </c>
      <c r="D155" s="13">
        <f>IF(selection!D30="","",selection!D30)</f>
        <v/>
      </c>
      <c r="E155" s="10">
        <f>IF(selection!E30="","",selection!E30)</f>
        <v/>
      </c>
      <c r="F155" s="7">
        <f>IF(selection!F30="","",selection!F30)</f>
        <v/>
      </c>
      <c r="G155" s="14">
        <f>IF(selection!G30="","",selection!G30)</f>
        <v/>
      </c>
      <c r="H155" s="13">
        <f>IF(selection!H30="","",selection!H30)</f>
        <v/>
      </c>
      <c r="I155" s="13">
        <f>IF(selection!I30="","",selection!I30)</f>
        <v/>
      </c>
      <c r="J155" s="13">
        <f>IF(selection!J30="","",selection!J30)</f>
        <v/>
      </c>
      <c r="K155" s="11">
        <f>IF(selection!K30="","",selection!K30)</f>
        <v/>
      </c>
      <c r="L155" s="15">
        <f>IF(selection!L30="","",selection!L30)</f>
        <v/>
      </c>
      <c r="M155" s="7">
        <f>IF(selection!M30="","",selection!M30)</f>
        <v/>
      </c>
      <c r="N155" s="7">
        <f>IF(selection!N30="","",selection!N30)</f>
        <v/>
      </c>
      <c r="U155">
        <f>IF(selection!H152=1,selection!M152,NA())</f>
        <v/>
      </c>
      <c r="V155">
        <f>IF(selection!H152=1,selection!N152,NA())</f>
        <v/>
      </c>
      <c r="W155">
        <f>IF(selection!H152=0,selection!M152,NA())</f>
        <v/>
      </c>
      <c r="X155">
        <f>IF(selection!H152=0,selection!N152,NA())</f>
        <v/>
      </c>
    </row>
    <row r="156">
      <c r="A156">
        <f>IF(selection!A31="","",selection!A31)</f>
        <v/>
      </c>
      <c r="B156">
        <f>IF(selection!B31="","",selection!B31)</f>
        <v/>
      </c>
      <c r="C156" s="7">
        <f>IF(selection!C31="","",selection!C31)</f>
        <v/>
      </c>
      <c r="D156" s="13">
        <f>IF(selection!D31="","",selection!D31)</f>
        <v/>
      </c>
      <c r="E156" s="10">
        <f>IF(selection!E31="","",selection!E31)</f>
        <v/>
      </c>
      <c r="F156" s="7">
        <f>IF(selection!F31="","",selection!F31)</f>
        <v/>
      </c>
      <c r="G156" s="14">
        <f>IF(selection!G31="","",selection!G31)</f>
        <v/>
      </c>
      <c r="H156" s="13">
        <f>IF(selection!H31="","",selection!H31)</f>
        <v/>
      </c>
      <c r="I156" s="13">
        <f>IF(selection!I31="","",selection!I31)</f>
        <v/>
      </c>
      <c r="J156" s="13">
        <f>IF(selection!J31="","",selection!J31)</f>
        <v/>
      </c>
      <c r="K156" s="11">
        <f>IF(selection!K31="","",selection!K31)</f>
        <v/>
      </c>
      <c r="L156" s="15">
        <f>IF(selection!L31="","",selection!L31)</f>
        <v/>
      </c>
      <c r="M156" s="7">
        <f>IF(selection!M31="","",selection!M31)</f>
        <v/>
      </c>
      <c r="N156" s="7">
        <f>IF(selection!N31="","",selection!N31)</f>
        <v/>
      </c>
      <c r="U156">
        <f>IF(selection!H153=1,selection!M153,NA())</f>
        <v/>
      </c>
      <c r="V156">
        <f>IF(selection!H153=1,selection!N153,NA())</f>
        <v/>
      </c>
      <c r="W156">
        <f>IF(selection!H153=0,selection!M153,NA())</f>
        <v/>
      </c>
      <c r="X156">
        <f>IF(selection!H153=0,selection!N153,NA())</f>
        <v/>
      </c>
    </row>
    <row r="157">
      <c r="A157">
        <f>IF(selection!A32="","",selection!A32)</f>
        <v/>
      </c>
      <c r="B157">
        <f>IF(selection!B32="","",selection!B32)</f>
        <v/>
      </c>
      <c r="C157" s="7">
        <f>IF(selection!C32="","",selection!C32)</f>
        <v/>
      </c>
      <c r="D157" s="13">
        <f>IF(selection!D32="","",selection!D32)</f>
        <v/>
      </c>
      <c r="E157" s="10">
        <f>IF(selection!E32="","",selection!E32)</f>
        <v/>
      </c>
      <c r="F157" s="7">
        <f>IF(selection!F32="","",selection!F32)</f>
        <v/>
      </c>
      <c r="G157" s="14">
        <f>IF(selection!G32="","",selection!G32)</f>
        <v/>
      </c>
      <c r="H157" s="13">
        <f>IF(selection!H32="","",selection!H32)</f>
        <v/>
      </c>
      <c r="I157" s="13">
        <f>IF(selection!I32="","",selection!I32)</f>
        <v/>
      </c>
      <c r="J157" s="13">
        <f>IF(selection!J32="","",selection!J32)</f>
        <v/>
      </c>
      <c r="K157" s="11">
        <f>IF(selection!K32="","",selection!K32)</f>
        <v/>
      </c>
      <c r="L157" s="15">
        <f>IF(selection!L32="","",selection!L32)</f>
        <v/>
      </c>
      <c r="M157" s="7">
        <f>IF(selection!M32="","",selection!M32)</f>
        <v/>
      </c>
      <c r="N157" s="7">
        <f>IF(selection!N32="","",selection!N32)</f>
        <v/>
      </c>
      <c r="U157">
        <f>IF(selection!H154=1,selection!M154,NA())</f>
        <v/>
      </c>
      <c r="V157">
        <f>IF(selection!H154=1,selection!N154,NA())</f>
        <v/>
      </c>
      <c r="W157">
        <f>IF(selection!H154=0,selection!M154,NA())</f>
        <v/>
      </c>
      <c r="X157">
        <f>IF(selection!H154=0,selection!N154,NA())</f>
        <v/>
      </c>
    </row>
    <row r="158">
      <c r="A158">
        <f>IF(selection!A33="","",selection!A33)</f>
        <v/>
      </c>
      <c r="B158">
        <f>IF(selection!B33="","",selection!B33)</f>
        <v/>
      </c>
      <c r="C158" s="7">
        <f>IF(selection!C33="","",selection!C33)</f>
        <v/>
      </c>
      <c r="D158" s="13">
        <f>IF(selection!D33="","",selection!D33)</f>
        <v/>
      </c>
      <c r="E158" s="10">
        <f>IF(selection!E33="","",selection!E33)</f>
        <v/>
      </c>
      <c r="F158" s="7">
        <f>IF(selection!F33="","",selection!F33)</f>
        <v/>
      </c>
      <c r="G158" s="14">
        <f>IF(selection!G33="","",selection!G33)</f>
        <v/>
      </c>
      <c r="H158" s="13">
        <f>IF(selection!H33="","",selection!H33)</f>
        <v/>
      </c>
      <c r="I158" s="13">
        <f>IF(selection!I33="","",selection!I33)</f>
        <v/>
      </c>
      <c r="J158" s="13">
        <f>IF(selection!J33="","",selection!J33)</f>
        <v/>
      </c>
      <c r="K158" s="11">
        <f>IF(selection!K33="","",selection!K33)</f>
        <v/>
      </c>
      <c r="L158" s="15">
        <f>IF(selection!L33="","",selection!L33)</f>
        <v/>
      </c>
      <c r="M158" s="7">
        <f>IF(selection!M33="","",selection!M33)</f>
        <v/>
      </c>
      <c r="N158" s="7">
        <f>IF(selection!N33="","",selection!N33)</f>
        <v/>
      </c>
      <c r="U158">
        <f>IF(selection!H155=1,selection!M155,NA())</f>
        <v/>
      </c>
      <c r="V158">
        <f>IF(selection!H155=1,selection!N155,NA())</f>
        <v/>
      </c>
      <c r="W158">
        <f>IF(selection!H155=0,selection!M155,NA())</f>
        <v/>
      </c>
      <c r="X158">
        <f>IF(selection!H155=0,selection!N155,NA())</f>
        <v/>
      </c>
    </row>
    <row r="159">
      <c r="A159">
        <f>IF(selection!A34="","",selection!A34)</f>
        <v/>
      </c>
      <c r="B159">
        <f>IF(selection!B34="","",selection!B34)</f>
        <v/>
      </c>
      <c r="C159" s="7">
        <f>IF(selection!C34="","",selection!C34)</f>
        <v/>
      </c>
      <c r="D159" s="13">
        <f>IF(selection!D34="","",selection!D34)</f>
        <v/>
      </c>
      <c r="E159" s="10">
        <f>IF(selection!E34="","",selection!E34)</f>
        <v/>
      </c>
      <c r="F159" s="7">
        <f>IF(selection!F34="","",selection!F34)</f>
        <v/>
      </c>
      <c r="G159" s="14">
        <f>IF(selection!G34="","",selection!G34)</f>
        <v/>
      </c>
      <c r="H159" s="13">
        <f>IF(selection!H34="","",selection!H34)</f>
        <v/>
      </c>
      <c r="I159" s="13">
        <f>IF(selection!I34="","",selection!I34)</f>
        <v/>
      </c>
      <c r="J159" s="13">
        <f>IF(selection!J34="","",selection!J34)</f>
        <v/>
      </c>
      <c r="K159" s="11">
        <f>IF(selection!K34="","",selection!K34)</f>
        <v/>
      </c>
      <c r="L159" s="15">
        <f>IF(selection!L34="","",selection!L34)</f>
        <v/>
      </c>
      <c r="M159" s="7">
        <f>IF(selection!M34="","",selection!M34)</f>
        <v/>
      </c>
      <c r="N159" s="7">
        <f>IF(selection!N34="","",selection!N34)</f>
        <v/>
      </c>
      <c r="U159">
        <f>IF(selection!H156=1,selection!M156,NA())</f>
        <v/>
      </c>
      <c r="V159">
        <f>IF(selection!H156=1,selection!N156,NA())</f>
        <v/>
      </c>
      <c r="W159">
        <f>IF(selection!H156=0,selection!M156,NA())</f>
        <v/>
      </c>
      <c r="X159">
        <f>IF(selection!H156=0,selection!N156,NA())</f>
        <v/>
      </c>
    </row>
    <row r="160">
      <c r="A160">
        <f>IF(selection!A35="","",selection!A35)</f>
        <v/>
      </c>
      <c r="B160">
        <f>IF(selection!B35="","",selection!B35)</f>
        <v/>
      </c>
      <c r="C160" s="7">
        <f>IF(selection!C35="","",selection!C35)</f>
        <v/>
      </c>
      <c r="D160" s="13">
        <f>IF(selection!D35="","",selection!D35)</f>
        <v/>
      </c>
      <c r="E160" s="10">
        <f>IF(selection!E35="","",selection!E35)</f>
        <v/>
      </c>
      <c r="F160" s="7">
        <f>IF(selection!F35="","",selection!F35)</f>
        <v/>
      </c>
      <c r="G160" s="14">
        <f>IF(selection!G35="","",selection!G35)</f>
        <v/>
      </c>
      <c r="H160" s="13">
        <f>IF(selection!H35="","",selection!H35)</f>
        <v/>
      </c>
      <c r="I160" s="13">
        <f>IF(selection!I35="","",selection!I35)</f>
        <v/>
      </c>
      <c r="J160" s="13">
        <f>IF(selection!J35="","",selection!J35)</f>
        <v/>
      </c>
      <c r="K160" s="11">
        <f>IF(selection!K35="","",selection!K35)</f>
        <v/>
      </c>
      <c r="L160" s="15">
        <f>IF(selection!L35="","",selection!L35)</f>
        <v/>
      </c>
      <c r="M160" s="7">
        <f>IF(selection!M35="","",selection!M35)</f>
        <v/>
      </c>
      <c r="N160" s="7">
        <f>IF(selection!N35="","",selection!N35)</f>
        <v/>
      </c>
      <c r="U160">
        <f>IF(selection!H157=1,selection!M157,NA())</f>
        <v/>
      </c>
      <c r="V160">
        <f>IF(selection!H157=1,selection!N157,NA())</f>
        <v/>
      </c>
      <c r="W160">
        <f>IF(selection!H157=0,selection!M157,NA())</f>
        <v/>
      </c>
      <c r="X160">
        <f>IF(selection!H157=0,selection!N157,NA())</f>
        <v/>
      </c>
    </row>
    <row r="161">
      <c r="A161">
        <f>IF(selection!A36="","",selection!A36)</f>
        <v/>
      </c>
      <c r="B161">
        <f>IF(selection!B36="","",selection!B36)</f>
        <v/>
      </c>
      <c r="C161" s="7">
        <f>IF(selection!C36="","",selection!C36)</f>
        <v/>
      </c>
      <c r="D161" s="13">
        <f>IF(selection!D36="","",selection!D36)</f>
        <v/>
      </c>
      <c r="E161" s="10">
        <f>IF(selection!E36="","",selection!E36)</f>
        <v/>
      </c>
      <c r="F161" s="7">
        <f>IF(selection!F36="","",selection!F36)</f>
        <v/>
      </c>
      <c r="G161" s="14">
        <f>IF(selection!G36="","",selection!G36)</f>
        <v/>
      </c>
      <c r="H161" s="13">
        <f>IF(selection!H36="","",selection!H36)</f>
        <v/>
      </c>
      <c r="I161" s="13">
        <f>IF(selection!I36="","",selection!I36)</f>
        <v/>
      </c>
      <c r="J161" s="13">
        <f>IF(selection!J36="","",selection!J36)</f>
        <v/>
      </c>
      <c r="K161" s="11">
        <f>IF(selection!K36="","",selection!K36)</f>
        <v/>
      </c>
      <c r="L161" s="15">
        <f>IF(selection!L36="","",selection!L36)</f>
        <v/>
      </c>
      <c r="M161" s="7">
        <f>IF(selection!M36="","",selection!M36)</f>
        <v/>
      </c>
      <c r="N161" s="7">
        <f>IF(selection!N36="","",selection!N36)</f>
        <v/>
      </c>
      <c r="U161">
        <f>IF(selection!H158=1,selection!M158,NA())</f>
        <v/>
      </c>
      <c r="V161">
        <f>IF(selection!H158=1,selection!N158,NA())</f>
        <v/>
      </c>
      <c r="W161">
        <f>IF(selection!H158=0,selection!M158,NA())</f>
        <v/>
      </c>
      <c r="X161">
        <f>IF(selection!H158=0,selection!N158,NA())</f>
        <v/>
      </c>
    </row>
    <row r="162">
      <c r="A162">
        <f>IF(selection!A37="","",selection!A37)</f>
        <v/>
      </c>
      <c r="B162">
        <f>IF(selection!B37="","",selection!B37)</f>
        <v/>
      </c>
      <c r="C162" s="7">
        <f>IF(selection!C37="","",selection!C37)</f>
        <v/>
      </c>
      <c r="D162" s="13">
        <f>IF(selection!D37="","",selection!D37)</f>
        <v/>
      </c>
      <c r="E162" s="10">
        <f>IF(selection!E37="","",selection!E37)</f>
        <v/>
      </c>
      <c r="F162" s="7">
        <f>IF(selection!F37="","",selection!F37)</f>
        <v/>
      </c>
      <c r="G162" s="14">
        <f>IF(selection!G37="","",selection!G37)</f>
        <v/>
      </c>
      <c r="H162" s="13">
        <f>IF(selection!H37="","",selection!H37)</f>
        <v/>
      </c>
      <c r="I162" s="13">
        <f>IF(selection!I37="","",selection!I37)</f>
        <v/>
      </c>
      <c r="J162" s="13">
        <f>IF(selection!J37="","",selection!J37)</f>
        <v/>
      </c>
      <c r="K162" s="11">
        <f>IF(selection!K37="","",selection!K37)</f>
        <v/>
      </c>
      <c r="L162" s="15">
        <f>IF(selection!L37="","",selection!L37)</f>
        <v/>
      </c>
      <c r="M162" s="7">
        <f>IF(selection!M37="","",selection!M37)</f>
        <v/>
      </c>
      <c r="N162" s="7">
        <f>IF(selection!N37="","",selection!N37)</f>
        <v/>
      </c>
      <c r="U162">
        <f>IF(selection!H159=1,selection!M159,NA())</f>
        <v/>
      </c>
      <c r="V162">
        <f>IF(selection!H159=1,selection!N159,NA())</f>
        <v/>
      </c>
      <c r="W162">
        <f>IF(selection!H159=0,selection!M159,NA())</f>
        <v/>
      </c>
      <c r="X162">
        <f>IF(selection!H159=0,selection!N159,NA())</f>
        <v/>
      </c>
    </row>
    <row r="163">
      <c r="A163">
        <f>IF(selection!A38="","",selection!A38)</f>
        <v/>
      </c>
      <c r="B163">
        <f>IF(selection!B38="","",selection!B38)</f>
        <v/>
      </c>
      <c r="C163" s="7">
        <f>IF(selection!C38="","",selection!C38)</f>
        <v/>
      </c>
      <c r="D163" s="13">
        <f>IF(selection!D38="","",selection!D38)</f>
        <v/>
      </c>
      <c r="E163" s="10">
        <f>IF(selection!E38="","",selection!E38)</f>
        <v/>
      </c>
      <c r="F163" s="7">
        <f>IF(selection!F38="","",selection!F38)</f>
        <v/>
      </c>
      <c r="G163" s="14">
        <f>IF(selection!G38="","",selection!G38)</f>
        <v/>
      </c>
      <c r="H163" s="13">
        <f>IF(selection!H38="","",selection!H38)</f>
        <v/>
      </c>
      <c r="I163" s="13">
        <f>IF(selection!I38="","",selection!I38)</f>
        <v/>
      </c>
      <c r="J163" s="13">
        <f>IF(selection!J38="","",selection!J38)</f>
        <v/>
      </c>
      <c r="K163" s="11">
        <f>IF(selection!K38="","",selection!K38)</f>
        <v/>
      </c>
      <c r="L163" s="15">
        <f>IF(selection!L38="","",selection!L38)</f>
        <v/>
      </c>
      <c r="M163" s="7">
        <f>IF(selection!M38="","",selection!M38)</f>
        <v/>
      </c>
      <c r="N163" s="7">
        <f>IF(selection!N38="","",selection!N38)</f>
        <v/>
      </c>
      <c r="U163">
        <f>IF(selection!H160=1,selection!M160,NA())</f>
        <v/>
      </c>
      <c r="V163">
        <f>IF(selection!H160=1,selection!N160,NA())</f>
        <v/>
      </c>
      <c r="W163">
        <f>IF(selection!H160=0,selection!M160,NA())</f>
        <v/>
      </c>
      <c r="X163">
        <f>IF(selection!H160=0,selection!N160,NA())</f>
        <v/>
      </c>
    </row>
    <row r="164">
      <c r="A164">
        <f>IF(selection!A39="","",selection!A39)</f>
        <v/>
      </c>
      <c r="B164">
        <f>IF(selection!B39="","",selection!B39)</f>
        <v/>
      </c>
      <c r="C164" s="7">
        <f>IF(selection!C39="","",selection!C39)</f>
        <v/>
      </c>
      <c r="D164" s="13">
        <f>IF(selection!D39="","",selection!D39)</f>
        <v/>
      </c>
      <c r="E164" s="10">
        <f>IF(selection!E39="","",selection!E39)</f>
        <v/>
      </c>
      <c r="F164" s="7">
        <f>IF(selection!F39="","",selection!F39)</f>
        <v/>
      </c>
      <c r="G164" s="14">
        <f>IF(selection!G39="","",selection!G39)</f>
        <v/>
      </c>
      <c r="H164" s="13">
        <f>IF(selection!H39="","",selection!H39)</f>
        <v/>
      </c>
      <c r="I164" s="13">
        <f>IF(selection!I39="","",selection!I39)</f>
        <v/>
      </c>
      <c r="J164" s="13">
        <f>IF(selection!J39="","",selection!J39)</f>
        <v/>
      </c>
      <c r="K164" s="11">
        <f>IF(selection!K39="","",selection!K39)</f>
        <v/>
      </c>
      <c r="L164" s="15">
        <f>IF(selection!L39="","",selection!L39)</f>
        <v/>
      </c>
      <c r="M164" s="7">
        <f>IF(selection!M39="","",selection!M39)</f>
        <v/>
      </c>
      <c r="N164" s="7">
        <f>IF(selection!N39="","",selection!N39)</f>
        <v/>
      </c>
      <c r="U164">
        <f>IF(selection!H161=1,selection!M161,NA())</f>
        <v/>
      </c>
      <c r="V164">
        <f>IF(selection!H161=1,selection!N161,NA())</f>
        <v/>
      </c>
      <c r="W164">
        <f>IF(selection!H161=0,selection!M161,NA())</f>
        <v/>
      </c>
      <c r="X164">
        <f>IF(selection!H161=0,selection!N161,NA())</f>
        <v/>
      </c>
    </row>
    <row r="165">
      <c r="A165">
        <f>IF(selection!A40="","",selection!A40)</f>
        <v/>
      </c>
      <c r="B165">
        <f>IF(selection!B40="","",selection!B40)</f>
        <v/>
      </c>
      <c r="C165" s="7">
        <f>IF(selection!C40="","",selection!C40)</f>
        <v/>
      </c>
      <c r="D165" s="13">
        <f>IF(selection!D40="","",selection!D40)</f>
        <v/>
      </c>
      <c r="E165" s="10">
        <f>IF(selection!E40="","",selection!E40)</f>
        <v/>
      </c>
      <c r="F165" s="7">
        <f>IF(selection!F40="","",selection!F40)</f>
        <v/>
      </c>
      <c r="G165" s="14">
        <f>IF(selection!G40="","",selection!G40)</f>
        <v/>
      </c>
      <c r="H165" s="13">
        <f>IF(selection!H40="","",selection!H40)</f>
        <v/>
      </c>
      <c r="I165" s="13">
        <f>IF(selection!I40="","",selection!I40)</f>
        <v/>
      </c>
      <c r="J165" s="13">
        <f>IF(selection!J40="","",selection!J40)</f>
        <v/>
      </c>
      <c r="K165" s="11">
        <f>IF(selection!K40="","",selection!K40)</f>
        <v/>
      </c>
      <c r="L165" s="15">
        <f>IF(selection!L40="","",selection!L40)</f>
        <v/>
      </c>
      <c r="M165" s="7">
        <f>IF(selection!M40="","",selection!M40)</f>
        <v/>
      </c>
      <c r="N165" s="7">
        <f>IF(selection!N40="","",selection!N40)</f>
        <v/>
      </c>
      <c r="U165">
        <f>IF(selection!H162=1,selection!M162,NA())</f>
        <v/>
      </c>
      <c r="V165">
        <f>IF(selection!H162=1,selection!N162,NA())</f>
        <v/>
      </c>
      <c r="W165">
        <f>IF(selection!H162=0,selection!M162,NA())</f>
        <v/>
      </c>
      <c r="X165">
        <f>IF(selection!H162=0,selection!N162,NA())</f>
        <v/>
      </c>
    </row>
    <row r="166">
      <c r="A166">
        <f>IF(selection!A41="","",selection!A41)</f>
        <v/>
      </c>
      <c r="B166">
        <f>IF(selection!B41="","",selection!B41)</f>
        <v/>
      </c>
      <c r="C166" s="7">
        <f>IF(selection!C41="","",selection!C41)</f>
        <v/>
      </c>
      <c r="D166" s="13">
        <f>IF(selection!D41="","",selection!D41)</f>
        <v/>
      </c>
      <c r="E166" s="10">
        <f>IF(selection!E41="","",selection!E41)</f>
        <v/>
      </c>
      <c r="F166" s="7">
        <f>IF(selection!F41="","",selection!F41)</f>
        <v/>
      </c>
      <c r="G166" s="14">
        <f>IF(selection!G41="","",selection!G41)</f>
        <v/>
      </c>
      <c r="H166" s="13">
        <f>IF(selection!H41="","",selection!H41)</f>
        <v/>
      </c>
      <c r="I166" s="13">
        <f>IF(selection!I41="","",selection!I41)</f>
        <v/>
      </c>
      <c r="J166" s="13">
        <f>IF(selection!J41="","",selection!J41)</f>
        <v/>
      </c>
      <c r="K166" s="11">
        <f>IF(selection!K41="","",selection!K41)</f>
        <v/>
      </c>
      <c r="L166" s="15">
        <f>IF(selection!L41="","",selection!L41)</f>
        <v/>
      </c>
      <c r="M166" s="7">
        <f>IF(selection!M41="","",selection!M41)</f>
        <v/>
      </c>
      <c r="N166" s="7">
        <f>IF(selection!N41="","",selection!N41)</f>
        <v/>
      </c>
      <c r="U166">
        <f>IF(selection!H163=1,selection!M163,NA())</f>
        <v/>
      </c>
      <c r="V166">
        <f>IF(selection!H163=1,selection!N163,NA())</f>
        <v/>
      </c>
      <c r="W166">
        <f>IF(selection!H163=0,selection!M163,NA())</f>
        <v/>
      </c>
      <c r="X166">
        <f>IF(selection!H163=0,selection!N163,NA())</f>
        <v/>
      </c>
    </row>
    <row r="167">
      <c r="A167">
        <f>IF(selection!A42="","",selection!A42)</f>
        <v/>
      </c>
      <c r="B167">
        <f>IF(selection!B42="","",selection!B42)</f>
        <v/>
      </c>
      <c r="C167" s="7">
        <f>IF(selection!C42="","",selection!C42)</f>
        <v/>
      </c>
      <c r="D167" s="13">
        <f>IF(selection!D42="","",selection!D42)</f>
        <v/>
      </c>
      <c r="E167" s="10">
        <f>IF(selection!E42="","",selection!E42)</f>
        <v/>
      </c>
      <c r="F167" s="7">
        <f>IF(selection!F42="","",selection!F42)</f>
        <v/>
      </c>
      <c r="G167" s="14">
        <f>IF(selection!G42="","",selection!G42)</f>
        <v/>
      </c>
      <c r="H167" s="13">
        <f>IF(selection!H42="","",selection!H42)</f>
        <v/>
      </c>
      <c r="I167" s="13">
        <f>IF(selection!I42="","",selection!I42)</f>
        <v/>
      </c>
      <c r="J167" s="13">
        <f>IF(selection!J42="","",selection!J42)</f>
        <v/>
      </c>
      <c r="K167" s="11">
        <f>IF(selection!K42="","",selection!K42)</f>
        <v/>
      </c>
      <c r="L167" s="15">
        <f>IF(selection!L42="","",selection!L42)</f>
        <v/>
      </c>
      <c r="M167" s="7">
        <f>IF(selection!M42="","",selection!M42)</f>
        <v/>
      </c>
      <c r="N167" s="7">
        <f>IF(selection!N42="","",selection!N42)</f>
        <v/>
      </c>
      <c r="U167">
        <f>IF(selection!H164=1,selection!M164,NA())</f>
        <v/>
      </c>
      <c r="V167">
        <f>IF(selection!H164=1,selection!N164,NA())</f>
        <v/>
      </c>
      <c r="W167">
        <f>IF(selection!H164=0,selection!M164,NA())</f>
        <v/>
      </c>
      <c r="X167">
        <f>IF(selection!H164=0,selection!N164,NA())</f>
        <v/>
      </c>
    </row>
    <row r="168">
      <c r="A168">
        <f>IF(selection!A43="","",selection!A43)</f>
        <v/>
      </c>
      <c r="B168">
        <f>IF(selection!B43="","",selection!B43)</f>
        <v/>
      </c>
      <c r="C168" s="7">
        <f>IF(selection!C43="","",selection!C43)</f>
        <v/>
      </c>
      <c r="D168" s="13">
        <f>IF(selection!D43="","",selection!D43)</f>
        <v/>
      </c>
      <c r="E168" s="10">
        <f>IF(selection!E43="","",selection!E43)</f>
        <v/>
      </c>
      <c r="F168" s="7">
        <f>IF(selection!F43="","",selection!F43)</f>
        <v/>
      </c>
      <c r="G168" s="14">
        <f>IF(selection!G43="","",selection!G43)</f>
        <v/>
      </c>
      <c r="H168" s="13">
        <f>IF(selection!H43="","",selection!H43)</f>
        <v/>
      </c>
      <c r="I168" s="13">
        <f>IF(selection!I43="","",selection!I43)</f>
        <v/>
      </c>
      <c r="J168" s="13">
        <f>IF(selection!J43="","",selection!J43)</f>
        <v/>
      </c>
      <c r="K168" s="11">
        <f>IF(selection!K43="","",selection!K43)</f>
        <v/>
      </c>
      <c r="L168" s="15">
        <f>IF(selection!L43="","",selection!L43)</f>
        <v/>
      </c>
      <c r="M168" s="7">
        <f>IF(selection!M43="","",selection!M43)</f>
        <v/>
      </c>
      <c r="N168" s="7">
        <f>IF(selection!N43="","",selection!N43)</f>
        <v/>
      </c>
      <c r="U168">
        <f>IF(selection!H165=1,selection!M165,NA())</f>
        <v/>
      </c>
      <c r="V168">
        <f>IF(selection!H165=1,selection!N165,NA())</f>
        <v/>
      </c>
      <c r="W168">
        <f>IF(selection!H165=0,selection!M165,NA())</f>
        <v/>
      </c>
      <c r="X168">
        <f>IF(selection!H165=0,selection!N165,NA())</f>
        <v/>
      </c>
    </row>
    <row r="169">
      <c r="A169">
        <f>IF(selection!A44="","",selection!A44)</f>
        <v/>
      </c>
      <c r="B169">
        <f>IF(selection!B44="","",selection!B44)</f>
        <v/>
      </c>
      <c r="C169" s="7">
        <f>IF(selection!C44="","",selection!C44)</f>
        <v/>
      </c>
      <c r="D169" s="13">
        <f>IF(selection!D44="","",selection!D44)</f>
        <v/>
      </c>
      <c r="E169" s="10">
        <f>IF(selection!E44="","",selection!E44)</f>
        <v/>
      </c>
      <c r="F169" s="7">
        <f>IF(selection!F44="","",selection!F44)</f>
        <v/>
      </c>
      <c r="G169" s="14">
        <f>IF(selection!G44="","",selection!G44)</f>
        <v/>
      </c>
      <c r="H169" s="13">
        <f>IF(selection!H44="","",selection!H44)</f>
        <v/>
      </c>
      <c r="I169" s="13">
        <f>IF(selection!I44="","",selection!I44)</f>
        <v/>
      </c>
      <c r="J169" s="13">
        <f>IF(selection!J44="","",selection!J44)</f>
        <v/>
      </c>
      <c r="K169" s="11">
        <f>IF(selection!K44="","",selection!K44)</f>
        <v/>
      </c>
      <c r="L169" s="15">
        <f>IF(selection!L44="","",selection!L44)</f>
        <v/>
      </c>
      <c r="M169" s="7">
        <f>IF(selection!M44="","",selection!M44)</f>
        <v/>
      </c>
      <c r="N169" s="7">
        <f>IF(selection!N44="","",selection!N44)</f>
        <v/>
      </c>
      <c r="U169">
        <f>IF(selection!H166=1,selection!M166,NA())</f>
        <v/>
      </c>
      <c r="V169">
        <f>IF(selection!H166=1,selection!N166,NA())</f>
        <v/>
      </c>
      <c r="W169">
        <f>IF(selection!H166=0,selection!M166,NA())</f>
        <v/>
      </c>
      <c r="X169">
        <f>IF(selection!H166=0,selection!N166,NA())</f>
        <v/>
      </c>
    </row>
    <row r="170">
      <c r="A170">
        <f>IF(selection!A45="","",selection!A45)</f>
        <v/>
      </c>
      <c r="B170">
        <f>IF(selection!B45="","",selection!B45)</f>
        <v/>
      </c>
      <c r="C170" s="7">
        <f>IF(selection!C45="","",selection!C45)</f>
        <v/>
      </c>
      <c r="D170" s="13">
        <f>IF(selection!D45="","",selection!D45)</f>
        <v/>
      </c>
      <c r="E170" s="10">
        <f>IF(selection!E45="","",selection!E45)</f>
        <v/>
      </c>
      <c r="F170" s="7">
        <f>IF(selection!F45="","",selection!F45)</f>
        <v/>
      </c>
      <c r="G170" s="14">
        <f>IF(selection!G45="","",selection!G45)</f>
        <v/>
      </c>
      <c r="H170" s="13">
        <f>IF(selection!H45="","",selection!H45)</f>
        <v/>
      </c>
      <c r="I170" s="13">
        <f>IF(selection!I45="","",selection!I45)</f>
        <v/>
      </c>
      <c r="J170" s="13">
        <f>IF(selection!J45="","",selection!J45)</f>
        <v/>
      </c>
      <c r="K170" s="11">
        <f>IF(selection!K45="","",selection!K45)</f>
        <v/>
      </c>
      <c r="L170" s="15">
        <f>IF(selection!L45="","",selection!L45)</f>
        <v/>
      </c>
      <c r="M170" s="7">
        <f>IF(selection!M45="","",selection!M45)</f>
        <v/>
      </c>
      <c r="N170" s="7">
        <f>IF(selection!N45="","",selection!N45)</f>
        <v/>
      </c>
      <c r="U170">
        <f>IF(selection!H167=1,selection!M167,NA())</f>
        <v/>
      </c>
      <c r="V170">
        <f>IF(selection!H167=1,selection!N167,NA())</f>
        <v/>
      </c>
      <c r="W170">
        <f>IF(selection!H167=0,selection!M167,NA())</f>
        <v/>
      </c>
      <c r="X170">
        <f>IF(selection!H167=0,selection!N167,NA())</f>
        <v/>
      </c>
    </row>
    <row r="171">
      <c r="A171">
        <f>IF(selection!A46="","",selection!A46)</f>
        <v/>
      </c>
      <c r="B171">
        <f>IF(selection!B46="","",selection!B46)</f>
        <v/>
      </c>
      <c r="C171" s="7">
        <f>IF(selection!C46="","",selection!C46)</f>
        <v/>
      </c>
      <c r="D171" s="13">
        <f>IF(selection!D46="","",selection!D46)</f>
        <v/>
      </c>
      <c r="E171" s="10">
        <f>IF(selection!E46="","",selection!E46)</f>
        <v/>
      </c>
      <c r="F171" s="7">
        <f>IF(selection!F46="","",selection!F46)</f>
        <v/>
      </c>
      <c r="G171" s="14">
        <f>IF(selection!G46="","",selection!G46)</f>
        <v/>
      </c>
      <c r="H171" s="13">
        <f>IF(selection!H46="","",selection!H46)</f>
        <v/>
      </c>
      <c r="I171" s="13">
        <f>IF(selection!I46="","",selection!I46)</f>
        <v/>
      </c>
      <c r="J171" s="13">
        <f>IF(selection!J46="","",selection!J46)</f>
        <v/>
      </c>
      <c r="K171" s="11">
        <f>IF(selection!K46="","",selection!K46)</f>
        <v/>
      </c>
      <c r="L171" s="15">
        <f>IF(selection!L46="","",selection!L46)</f>
        <v/>
      </c>
      <c r="M171" s="7">
        <f>IF(selection!M46="","",selection!M46)</f>
        <v/>
      </c>
      <c r="N171" s="7">
        <f>IF(selection!N46="","",selection!N46)</f>
        <v/>
      </c>
      <c r="U171">
        <f>IF(selection!H168=1,selection!M168,NA())</f>
        <v/>
      </c>
      <c r="V171">
        <f>IF(selection!H168=1,selection!N168,NA())</f>
        <v/>
      </c>
      <c r="W171">
        <f>IF(selection!H168=0,selection!M168,NA())</f>
        <v/>
      </c>
      <c r="X171">
        <f>IF(selection!H168=0,selection!N168,NA())</f>
        <v/>
      </c>
    </row>
    <row r="172">
      <c r="A172">
        <f>IF(selection!A47="","",selection!A47)</f>
        <v/>
      </c>
      <c r="B172">
        <f>IF(selection!B47="","",selection!B47)</f>
        <v/>
      </c>
      <c r="C172" s="7">
        <f>IF(selection!C47="","",selection!C47)</f>
        <v/>
      </c>
      <c r="D172" s="13">
        <f>IF(selection!D47="","",selection!D47)</f>
        <v/>
      </c>
      <c r="E172" s="10">
        <f>IF(selection!E47="","",selection!E47)</f>
        <v/>
      </c>
      <c r="F172" s="7">
        <f>IF(selection!F47="","",selection!F47)</f>
        <v/>
      </c>
      <c r="G172" s="14">
        <f>IF(selection!G47="","",selection!G47)</f>
        <v/>
      </c>
      <c r="H172" s="13">
        <f>IF(selection!H47="","",selection!H47)</f>
        <v/>
      </c>
      <c r="I172" s="13">
        <f>IF(selection!I47="","",selection!I47)</f>
        <v/>
      </c>
      <c r="J172" s="13">
        <f>IF(selection!J47="","",selection!J47)</f>
        <v/>
      </c>
      <c r="K172" s="11">
        <f>IF(selection!K47="","",selection!K47)</f>
        <v/>
      </c>
      <c r="L172" s="15">
        <f>IF(selection!L47="","",selection!L47)</f>
        <v/>
      </c>
      <c r="M172" s="7">
        <f>IF(selection!M47="","",selection!M47)</f>
        <v/>
      </c>
      <c r="N172" s="7">
        <f>IF(selection!N47="","",selection!N47)</f>
        <v/>
      </c>
      <c r="U172">
        <f>IF(selection!H169=1,selection!M169,NA())</f>
        <v/>
      </c>
      <c r="V172">
        <f>IF(selection!H169=1,selection!N169,NA())</f>
        <v/>
      </c>
      <c r="W172">
        <f>IF(selection!H169=0,selection!M169,NA())</f>
        <v/>
      </c>
      <c r="X172">
        <f>IF(selection!H169=0,selection!N169,NA())</f>
        <v/>
      </c>
    </row>
    <row r="173">
      <c r="A173">
        <f>IF(selection!A48="","",selection!A48)</f>
        <v/>
      </c>
      <c r="B173">
        <f>IF(selection!B48="","",selection!B48)</f>
        <v/>
      </c>
      <c r="C173" s="7">
        <f>IF(selection!C48="","",selection!C48)</f>
        <v/>
      </c>
      <c r="D173" s="13">
        <f>IF(selection!D48="","",selection!D48)</f>
        <v/>
      </c>
      <c r="E173" s="10">
        <f>IF(selection!E48="","",selection!E48)</f>
        <v/>
      </c>
      <c r="F173" s="7">
        <f>IF(selection!F48="","",selection!F48)</f>
        <v/>
      </c>
      <c r="G173" s="14">
        <f>IF(selection!G48="","",selection!G48)</f>
        <v/>
      </c>
      <c r="H173" s="13">
        <f>IF(selection!H48="","",selection!H48)</f>
        <v/>
      </c>
      <c r="I173" s="13">
        <f>IF(selection!I48="","",selection!I48)</f>
        <v/>
      </c>
      <c r="J173" s="13">
        <f>IF(selection!J48="","",selection!J48)</f>
        <v/>
      </c>
      <c r="K173" s="11">
        <f>IF(selection!K48="","",selection!K48)</f>
        <v/>
      </c>
      <c r="L173" s="15">
        <f>IF(selection!L48="","",selection!L48)</f>
        <v/>
      </c>
      <c r="M173" s="7">
        <f>IF(selection!M48="","",selection!M48)</f>
        <v/>
      </c>
      <c r="N173" s="7">
        <f>IF(selection!N48="","",selection!N48)</f>
        <v/>
      </c>
      <c r="U173">
        <f>IF(selection!H170=1,selection!M170,NA())</f>
        <v/>
      </c>
      <c r="V173">
        <f>IF(selection!H170=1,selection!N170,NA())</f>
        <v/>
      </c>
      <c r="W173">
        <f>IF(selection!H170=0,selection!M170,NA())</f>
        <v/>
      </c>
      <c r="X173">
        <f>IF(selection!H170=0,selection!N170,NA())</f>
        <v/>
      </c>
    </row>
    <row r="174">
      <c r="A174">
        <f>IF(selection!A49="","",selection!A49)</f>
        <v/>
      </c>
      <c r="B174">
        <f>IF(selection!B49="","",selection!B49)</f>
        <v/>
      </c>
      <c r="C174" s="7">
        <f>IF(selection!C49="","",selection!C49)</f>
        <v/>
      </c>
      <c r="D174" s="13">
        <f>IF(selection!D49="","",selection!D49)</f>
        <v/>
      </c>
      <c r="E174" s="10">
        <f>IF(selection!E49="","",selection!E49)</f>
        <v/>
      </c>
      <c r="F174" s="7">
        <f>IF(selection!F49="","",selection!F49)</f>
        <v/>
      </c>
      <c r="G174" s="14">
        <f>IF(selection!G49="","",selection!G49)</f>
        <v/>
      </c>
      <c r="H174" s="13">
        <f>IF(selection!H49="","",selection!H49)</f>
        <v/>
      </c>
      <c r="I174" s="13">
        <f>IF(selection!I49="","",selection!I49)</f>
        <v/>
      </c>
      <c r="J174" s="13">
        <f>IF(selection!J49="","",selection!J49)</f>
        <v/>
      </c>
      <c r="K174" s="11">
        <f>IF(selection!K49="","",selection!K49)</f>
        <v/>
      </c>
      <c r="L174" s="15">
        <f>IF(selection!L49="","",selection!L49)</f>
        <v/>
      </c>
      <c r="M174" s="7">
        <f>IF(selection!M49="","",selection!M49)</f>
        <v/>
      </c>
      <c r="N174" s="7">
        <f>IF(selection!N49="","",selection!N49)</f>
        <v/>
      </c>
      <c r="U174">
        <f>IF(selection!H171=1,selection!M171,NA())</f>
        <v/>
      </c>
      <c r="V174">
        <f>IF(selection!H171=1,selection!N171,NA())</f>
        <v/>
      </c>
      <c r="W174">
        <f>IF(selection!H171=0,selection!M171,NA())</f>
        <v/>
      </c>
      <c r="X174">
        <f>IF(selection!H171=0,selection!N171,NA())</f>
        <v/>
      </c>
    </row>
    <row r="175">
      <c r="A175">
        <f>IF(selection!A50="","",selection!A50)</f>
        <v/>
      </c>
      <c r="B175">
        <f>IF(selection!B50="","",selection!B50)</f>
        <v/>
      </c>
      <c r="C175" s="7">
        <f>IF(selection!C50="","",selection!C50)</f>
        <v/>
      </c>
      <c r="D175" s="13">
        <f>IF(selection!D50="","",selection!D50)</f>
        <v/>
      </c>
      <c r="E175" s="10">
        <f>IF(selection!E50="","",selection!E50)</f>
        <v/>
      </c>
      <c r="F175" s="7">
        <f>IF(selection!F50="","",selection!F50)</f>
        <v/>
      </c>
      <c r="G175" s="14">
        <f>IF(selection!G50="","",selection!G50)</f>
        <v/>
      </c>
      <c r="H175" s="13">
        <f>IF(selection!H50="","",selection!H50)</f>
        <v/>
      </c>
      <c r="I175" s="13">
        <f>IF(selection!I50="","",selection!I50)</f>
        <v/>
      </c>
      <c r="J175" s="13">
        <f>IF(selection!J50="","",selection!J50)</f>
        <v/>
      </c>
      <c r="K175" s="11">
        <f>IF(selection!K50="","",selection!K50)</f>
        <v/>
      </c>
      <c r="L175" s="15">
        <f>IF(selection!L50="","",selection!L50)</f>
        <v/>
      </c>
      <c r="M175" s="7">
        <f>IF(selection!M50="","",selection!M50)</f>
        <v/>
      </c>
      <c r="N175" s="7">
        <f>IF(selection!N50="","",selection!N50)</f>
        <v/>
      </c>
      <c r="U175">
        <f>IF(selection!H172=1,selection!M172,NA())</f>
        <v/>
      </c>
      <c r="V175">
        <f>IF(selection!H172=1,selection!N172,NA())</f>
        <v/>
      </c>
      <c r="W175">
        <f>IF(selection!H172=0,selection!M172,NA())</f>
        <v/>
      </c>
      <c r="X175">
        <f>IF(selection!H172=0,selection!N172,NA())</f>
        <v/>
      </c>
    </row>
    <row r="176">
      <c r="A176">
        <f>IF(selection!A51="","",selection!A51)</f>
        <v/>
      </c>
      <c r="B176">
        <f>IF(selection!B51="","",selection!B51)</f>
        <v/>
      </c>
      <c r="C176" s="7">
        <f>IF(selection!C51="","",selection!C51)</f>
        <v/>
      </c>
      <c r="D176" s="13">
        <f>IF(selection!D51="","",selection!D51)</f>
        <v/>
      </c>
      <c r="E176" s="10">
        <f>IF(selection!E51="","",selection!E51)</f>
        <v/>
      </c>
      <c r="F176" s="7">
        <f>IF(selection!F51="","",selection!F51)</f>
        <v/>
      </c>
      <c r="G176" s="14">
        <f>IF(selection!G51="","",selection!G51)</f>
        <v/>
      </c>
      <c r="H176" s="13">
        <f>IF(selection!H51="","",selection!H51)</f>
        <v/>
      </c>
      <c r="I176" s="13">
        <f>IF(selection!I51="","",selection!I51)</f>
        <v/>
      </c>
      <c r="J176" s="13">
        <f>IF(selection!J51="","",selection!J51)</f>
        <v/>
      </c>
      <c r="K176" s="11">
        <f>IF(selection!K51="","",selection!K51)</f>
        <v/>
      </c>
      <c r="L176" s="15">
        <f>IF(selection!L51="","",selection!L51)</f>
        <v/>
      </c>
      <c r="M176" s="7">
        <f>IF(selection!M51="","",selection!M51)</f>
        <v/>
      </c>
      <c r="N176" s="7">
        <f>IF(selection!N51="","",selection!N51)</f>
        <v/>
      </c>
      <c r="U176">
        <f>IF(selection!H173=1,selection!M173,NA())</f>
        <v/>
      </c>
      <c r="V176">
        <f>IF(selection!H173=1,selection!N173,NA())</f>
        <v/>
      </c>
      <c r="W176">
        <f>IF(selection!H173=0,selection!M173,NA())</f>
        <v/>
      </c>
      <c r="X176">
        <f>IF(selection!H173=0,selection!N173,NA())</f>
        <v/>
      </c>
    </row>
    <row r="177">
      <c r="A177">
        <f>IF(selection!A52="","",selection!A52)</f>
        <v/>
      </c>
      <c r="B177">
        <f>IF(selection!B52="","",selection!B52)</f>
        <v/>
      </c>
      <c r="C177" s="7">
        <f>IF(selection!C52="","",selection!C52)</f>
        <v/>
      </c>
      <c r="D177" s="13">
        <f>IF(selection!D52="","",selection!D52)</f>
        <v/>
      </c>
      <c r="E177" s="10">
        <f>IF(selection!E52="","",selection!E52)</f>
        <v/>
      </c>
      <c r="F177" s="7">
        <f>IF(selection!F52="","",selection!F52)</f>
        <v/>
      </c>
      <c r="G177" s="14">
        <f>IF(selection!G52="","",selection!G52)</f>
        <v/>
      </c>
      <c r="H177" s="13">
        <f>IF(selection!H52="","",selection!H52)</f>
        <v/>
      </c>
      <c r="I177" s="13">
        <f>IF(selection!I52="","",selection!I52)</f>
        <v/>
      </c>
      <c r="J177" s="13">
        <f>IF(selection!J52="","",selection!J52)</f>
        <v/>
      </c>
      <c r="K177" s="11">
        <f>IF(selection!K52="","",selection!K52)</f>
        <v/>
      </c>
      <c r="L177" s="15">
        <f>IF(selection!L52="","",selection!L52)</f>
        <v/>
      </c>
      <c r="M177" s="7">
        <f>IF(selection!M52="","",selection!M52)</f>
        <v/>
      </c>
      <c r="N177" s="7">
        <f>IF(selection!N52="","",selection!N52)</f>
        <v/>
      </c>
      <c r="U177">
        <f>IF(selection!H174=1,selection!M174,NA())</f>
        <v/>
      </c>
      <c r="V177">
        <f>IF(selection!H174=1,selection!N174,NA())</f>
        <v/>
      </c>
      <c r="W177">
        <f>IF(selection!H174=0,selection!M174,NA())</f>
        <v/>
      </c>
      <c r="X177">
        <f>IF(selection!H174=0,selection!N174,NA())</f>
        <v/>
      </c>
    </row>
    <row r="178">
      <c r="A178">
        <f>IF(selection!A53="","",selection!A53)</f>
        <v/>
      </c>
      <c r="B178">
        <f>IF(selection!B53="","",selection!B53)</f>
        <v/>
      </c>
      <c r="C178" s="7">
        <f>IF(selection!C53="","",selection!C53)</f>
        <v/>
      </c>
      <c r="D178" s="13">
        <f>IF(selection!D53="","",selection!D53)</f>
        <v/>
      </c>
      <c r="E178" s="10">
        <f>IF(selection!E53="","",selection!E53)</f>
        <v/>
      </c>
      <c r="F178" s="7">
        <f>IF(selection!F53="","",selection!F53)</f>
        <v/>
      </c>
      <c r="G178" s="14">
        <f>IF(selection!G53="","",selection!G53)</f>
        <v/>
      </c>
      <c r="H178" s="13">
        <f>IF(selection!H53="","",selection!H53)</f>
        <v/>
      </c>
      <c r="I178" s="13">
        <f>IF(selection!I53="","",selection!I53)</f>
        <v/>
      </c>
      <c r="J178" s="13">
        <f>IF(selection!J53="","",selection!J53)</f>
        <v/>
      </c>
      <c r="K178" s="11">
        <f>IF(selection!K53="","",selection!K53)</f>
        <v/>
      </c>
      <c r="L178" s="15">
        <f>IF(selection!L53="","",selection!L53)</f>
        <v/>
      </c>
      <c r="M178" s="7">
        <f>IF(selection!M53="","",selection!M53)</f>
        <v/>
      </c>
      <c r="N178" s="7">
        <f>IF(selection!N53="","",selection!N53)</f>
        <v/>
      </c>
      <c r="U178">
        <f>IF(selection!H175=1,selection!M175,NA())</f>
        <v/>
      </c>
      <c r="V178">
        <f>IF(selection!H175=1,selection!N175,NA())</f>
        <v/>
      </c>
      <c r="W178">
        <f>IF(selection!H175=0,selection!M175,NA())</f>
        <v/>
      </c>
      <c r="X178">
        <f>IF(selection!H175=0,selection!N175,NA())</f>
        <v/>
      </c>
    </row>
    <row r="179">
      <c r="A179">
        <f>IF(selection!A54="","",selection!A54)</f>
        <v/>
      </c>
      <c r="B179">
        <f>IF(selection!B54="","",selection!B54)</f>
        <v/>
      </c>
      <c r="C179" s="7">
        <f>IF(selection!C54="","",selection!C54)</f>
        <v/>
      </c>
      <c r="D179" s="13">
        <f>IF(selection!D54="","",selection!D54)</f>
        <v/>
      </c>
      <c r="E179" s="10">
        <f>IF(selection!E54="","",selection!E54)</f>
        <v/>
      </c>
      <c r="F179" s="7">
        <f>IF(selection!F54="","",selection!F54)</f>
        <v/>
      </c>
      <c r="G179" s="14">
        <f>IF(selection!G54="","",selection!G54)</f>
        <v/>
      </c>
      <c r="H179" s="13">
        <f>IF(selection!H54="","",selection!H54)</f>
        <v/>
      </c>
      <c r="I179" s="13">
        <f>IF(selection!I54="","",selection!I54)</f>
        <v/>
      </c>
      <c r="J179" s="13">
        <f>IF(selection!J54="","",selection!J54)</f>
        <v/>
      </c>
      <c r="K179" s="11">
        <f>IF(selection!K54="","",selection!K54)</f>
        <v/>
      </c>
      <c r="L179" s="15">
        <f>IF(selection!L54="","",selection!L54)</f>
        <v/>
      </c>
      <c r="M179" s="7">
        <f>IF(selection!M54="","",selection!M54)</f>
        <v/>
      </c>
      <c r="N179" s="7">
        <f>IF(selection!N54="","",selection!N54)</f>
        <v/>
      </c>
      <c r="U179">
        <f>IF(selection!H176=1,selection!M176,NA())</f>
        <v/>
      </c>
      <c r="V179">
        <f>IF(selection!H176=1,selection!N176,NA())</f>
        <v/>
      </c>
      <c r="W179">
        <f>IF(selection!H176=0,selection!M176,NA())</f>
        <v/>
      </c>
      <c r="X179">
        <f>IF(selection!H176=0,selection!N176,NA())</f>
        <v/>
      </c>
    </row>
    <row r="180">
      <c r="A180">
        <f>IF(selection!A55="","",selection!A55)</f>
        <v/>
      </c>
      <c r="B180">
        <f>IF(selection!B55="","",selection!B55)</f>
        <v/>
      </c>
      <c r="C180" s="7">
        <f>IF(selection!C55="","",selection!C55)</f>
        <v/>
      </c>
      <c r="D180" s="13">
        <f>IF(selection!D55="","",selection!D55)</f>
        <v/>
      </c>
      <c r="E180" s="10">
        <f>IF(selection!E55="","",selection!E55)</f>
        <v/>
      </c>
      <c r="F180" s="7">
        <f>IF(selection!F55="","",selection!F55)</f>
        <v/>
      </c>
      <c r="G180" s="14">
        <f>IF(selection!G55="","",selection!G55)</f>
        <v/>
      </c>
      <c r="H180" s="13">
        <f>IF(selection!H55="","",selection!H55)</f>
        <v/>
      </c>
      <c r="I180" s="13">
        <f>IF(selection!I55="","",selection!I55)</f>
        <v/>
      </c>
      <c r="J180" s="13">
        <f>IF(selection!J55="","",selection!J55)</f>
        <v/>
      </c>
      <c r="K180" s="11">
        <f>IF(selection!K55="","",selection!K55)</f>
        <v/>
      </c>
      <c r="L180" s="15">
        <f>IF(selection!L55="","",selection!L55)</f>
        <v/>
      </c>
      <c r="M180" s="7">
        <f>IF(selection!M55="","",selection!M55)</f>
        <v/>
      </c>
      <c r="N180" s="7">
        <f>IF(selection!N55="","",selection!N55)</f>
        <v/>
      </c>
      <c r="U180">
        <f>IF(selection!H177=1,selection!M177,NA())</f>
        <v/>
      </c>
      <c r="V180">
        <f>IF(selection!H177=1,selection!N177,NA())</f>
        <v/>
      </c>
      <c r="W180">
        <f>IF(selection!H177=0,selection!M177,NA())</f>
        <v/>
      </c>
      <c r="X180">
        <f>IF(selection!H177=0,selection!N177,NA())</f>
        <v/>
      </c>
    </row>
    <row r="181">
      <c r="A181">
        <f>IF(selection!A56="","",selection!A56)</f>
        <v/>
      </c>
      <c r="B181">
        <f>IF(selection!B56="","",selection!B56)</f>
        <v/>
      </c>
      <c r="C181" s="7">
        <f>IF(selection!C56="","",selection!C56)</f>
        <v/>
      </c>
      <c r="D181" s="13">
        <f>IF(selection!D56="","",selection!D56)</f>
        <v/>
      </c>
      <c r="E181" s="10">
        <f>IF(selection!E56="","",selection!E56)</f>
        <v/>
      </c>
      <c r="F181" s="7">
        <f>IF(selection!F56="","",selection!F56)</f>
        <v/>
      </c>
      <c r="G181" s="14">
        <f>IF(selection!G56="","",selection!G56)</f>
        <v/>
      </c>
      <c r="H181" s="13">
        <f>IF(selection!H56="","",selection!H56)</f>
        <v/>
      </c>
      <c r="I181" s="13">
        <f>IF(selection!I56="","",selection!I56)</f>
        <v/>
      </c>
      <c r="J181" s="13">
        <f>IF(selection!J56="","",selection!J56)</f>
        <v/>
      </c>
      <c r="K181" s="11">
        <f>IF(selection!K56="","",selection!K56)</f>
        <v/>
      </c>
      <c r="L181" s="15">
        <f>IF(selection!L56="","",selection!L56)</f>
        <v/>
      </c>
      <c r="M181" s="7">
        <f>IF(selection!M56="","",selection!M56)</f>
        <v/>
      </c>
      <c r="N181" s="7">
        <f>IF(selection!N56="","",selection!N56)</f>
        <v/>
      </c>
      <c r="U181">
        <f>IF(selection!H178=1,selection!M178,NA())</f>
        <v/>
      </c>
      <c r="V181">
        <f>IF(selection!H178=1,selection!N178,NA())</f>
        <v/>
      </c>
      <c r="W181">
        <f>IF(selection!H178=0,selection!M178,NA())</f>
        <v/>
      </c>
      <c r="X181">
        <f>IF(selection!H178=0,selection!N178,NA())</f>
        <v/>
      </c>
    </row>
    <row r="182">
      <c r="A182">
        <f>IF(selection!A57="","",selection!A57)</f>
        <v/>
      </c>
      <c r="B182">
        <f>IF(selection!B57="","",selection!B57)</f>
        <v/>
      </c>
      <c r="C182" s="7">
        <f>IF(selection!C57="","",selection!C57)</f>
        <v/>
      </c>
      <c r="D182" s="13">
        <f>IF(selection!D57="","",selection!D57)</f>
        <v/>
      </c>
      <c r="E182" s="10">
        <f>IF(selection!E57="","",selection!E57)</f>
        <v/>
      </c>
      <c r="F182" s="7">
        <f>IF(selection!F57="","",selection!F57)</f>
        <v/>
      </c>
      <c r="G182" s="14">
        <f>IF(selection!G57="","",selection!G57)</f>
        <v/>
      </c>
      <c r="H182" s="13">
        <f>IF(selection!H57="","",selection!H57)</f>
        <v/>
      </c>
      <c r="I182" s="13">
        <f>IF(selection!I57="","",selection!I57)</f>
        <v/>
      </c>
      <c r="J182" s="13">
        <f>IF(selection!J57="","",selection!J57)</f>
        <v/>
      </c>
      <c r="K182" s="11">
        <f>IF(selection!K57="","",selection!K57)</f>
        <v/>
      </c>
      <c r="L182" s="15">
        <f>IF(selection!L57="","",selection!L57)</f>
        <v/>
      </c>
      <c r="M182" s="7">
        <f>IF(selection!M57="","",selection!M57)</f>
        <v/>
      </c>
      <c r="N182" s="7">
        <f>IF(selection!N57="","",selection!N57)</f>
        <v/>
      </c>
      <c r="U182">
        <f>IF(selection!H179=1,selection!M179,NA())</f>
        <v/>
      </c>
      <c r="V182">
        <f>IF(selection!H179=1,selection!N179,NA())</f>
        <v/>
      </c>
      <c r="W182">
        <f>IF(selection!H179=0,selection!M179,NA())</f>
        <v/>
      </c>
      <c r="X182">
        <f>IF(selection!H179=0,selection!N179,NA())</f>
        <v/>
      </c>
    </row>
    <row r="183">
      <c r="A183">
        <f>IF(selection!A58="","",selection!A58)</f>
        <v/>
      </c>
      <c r="B183">
        <f>IF(selection!B58="","",selection!B58)</f>
        <v/>
      </c>
      <c r="C183" s="7">
        <f>IF(selection!C58="","",selection!C58)</f>
        <v/>
      </c>
      <c r="D183" s="13">
        <f>IF(selection!D58="","",selection!D58)</f>
        <v/>
      </c>
      <c r="E183" s="10">
        <f>IF(selection!E58="","",selection!E58)</f>
        <v/>
      </c>
      <c r="F183" s="7">
        <f>IF(selection!F58="","",selection!F58)</f>
        <v/>
      </c>
      <c r="G183" s="14">
        <f>IF(selection!G58="","",selection!G58)</f>
        <v/>
      </c>
      <c r="H183" s="13">
        <f>IF(selection!H58="","",selection!H58)</f>
        <v/>
      </c>
      <c r="I183" s="13">
        <f>IF(selection!I58="","",selection!I58)</f>
        <v/>
      </c>
      <c r="J183" s="13">
        <f>IF(selection!J58="","",selection!J58)</f>
        <v/>
      </c>
      <c r="K183" s="11">
        <f>IF(selection!K58="","",selection!K58)</f>
        <v/>
      </c>
      <c r="L183" s="15">
        <f>IF(selection!L58="","",selection!L58)</f>
        <v/>
      </c>
      <c r="M183" s="7">
        <f>IF(selection!M58="","",selection!M58)</f>
        <v/>
      </c>
      <c r="N183" s="7">
        <f>IF(selection!N58="","",selection!N58)</f>
        <v/>
      </c>
      <c r="U183">
        <f>IF(selection!H180=1,selection!M180,NA())</f>
        <v/>
      </c>
      <c r="V183">
        <f>IF(selection!H180=1,selection!N180,NA())</f>
        <v/>
      </c>
      <c r="W183">
        <f>IF(selection!H180=0,selection!M180,NA())</f>
        <v/>
      </c>
      <c r="X183">
        <f>IF(selection!H180=0,selection!N180,NA())</f>
        <v/>
      </c>
    </row>
    <row r="184">
      <c r="A184">
        <f>IF(selection!A59="","",selection!A59)</f>
        <v/>
      </c>
      <c r="B184">
        <f>IF(selection!B59="","",selection!B59)</f>
        <v/>
      </c>
      <c r="C184" s="7">
        <f>IF(selection!C59="","",selection!C59)</f>
        <v/>
      </c>
      <c r="D184" s="13">
        <f>IF(selection!D59="","",selection!D59)</f>
        <v/>
      </c>
      <c r="E184" s="10">
        <f>IF(selection!E59="","",selection!E59)</f>
        <v/>
      </c>
      <c r="F184" s="7">
        <f>IF(selection!F59="","",selection!F59)</f>
        <v/>
      </c>
      <c r="G184" s="14">
        <f>IF(selection!G59="","",selection!G59)</f>
        <v/>
      </c>
      <c r="H184" s="13">
        <f>IF(selection!H59="","",selection!H59)</f>
        <v/>
      </c>
      <c r="I184" s="13">
        <f>IF(selection!I59="","",selection!I59)</f>
        <v/>
      </c>
      <c r="J184" s="13">
        <f>IF(selection!J59="","",selection!J59)</f>
        <v/>
      </c>
      <c r="K184" s="11">
        <f>IF(selection!K59="","",selection!K59)</f>
        <v/>
      </c>
      <c r="L184" s="15">
        <f>IF(selection!L59="","",selection!L59)</f>
        <v/>
      </c>
      <c r="M184" s="7">
        <f>IF(selection!M59="","",selection!M59)</f>
        <v/>
      </c>
      <c r="N184" s="7">
        <f>IF(selection!N59="","",selection!N59)</f>
        <v/>
      </c>
      <c r="U184">
        <f>IF(selection!H181=1,selection!M181,NA())</f>
        <v/>
      </c>
      <c r="V184">
        <f>IF(selection!H181=1,selection!N181,NA())</f>
        <v/>
      </c>
      <c r="W184">
        <f>IF(selection!H181=0,selection!M181,NA())</f>
        <v/>
      </c>
      <c r="X184">
        <f>IF(selection!H181=0,selection!N181,NA())</f>
        <v/>
      </c>
    </row>
    <row r="185">
      <c r="A185">
        <f>IF(selection!A60="","",selection!A60)</f>
        <v/>
      </c>
      <c r="B185">
        <f>IF(selection!B60="","",selection!B60)</f>
        <v/>
      </c>
      <c r="C185" s="7">
        <f>IF(selection!C60="","",selection!C60)</f>
        <v/>
      </c>
      <c r="D185" s="13">
        <f>IF(selection!D60="","",selection!D60)</f>
        <v/>
      </c>
      <c r="E185" s="10">
        <f>IF(selection!E60="","",selection!E60)</f>
        <v/>
      </c>
      <c r="F185" s="7">
        <f>IF(selection!F60="","",selection!F60)</f>
        <v/>
      </c>
      <c r="G185" s="14">
        <f>IF(selection!G60="","",selection!G60)</f>
        <v/>
      </c>
      <c r="H185" s="13">
        <f>IF(selection!H60="","",selection!H60)</f>
        <v/>
      </c>
      <c r="I185" s="13">
        <f>IF(selection!I60="","",selection!I60)</f>
        <v/>
      </c>
      <c r="J185" s="13">
        <f>IF(selection!J60="","",selection!J60)</f>
        <v/>
      </c>
      <c r="K185" s="11">
        <f>IF(selection!K60="","",selection!K60)</f>
        <v/>
      </c>
      <c r="L185" s="15">
        <f>IF(selection!L60="","",selection!L60)</f>
        <v/>
      </c>
      <c r="M185" s="7">
        <f>IF(selection!M60="","",selection!M60)</f>
        <v/>
      </c>
      <c r="N185" s="7">
        <f>IF(selection!N60="","",selection!N60)</f>
        <v/>
      </c>
      <c r="U185">
        <f>IF(selection!H182=1,selection!M182,NA())</f>
        <v/>
      </c>
      <c r="V185">
        <f>IF(selection!H182=1,selection!N182,NA())</f>
        <v/>
      </c>
      <c r="W185">
        <f>IF(selection!H182=0,selection!M182,NA())</f>
        <v/>
      </c>
      <c r="X185">
        <f>IF(selection!H182=0,selection!N182,NA())</f>
        <v/>
      </c>
    </row>
    <row r="186">
      <c r="A186">
        <f>IF(selection!A61="","",selection!A61)</f>
        <v/>
      </c>
      <c r="B186">
        <f>IF(selection!B61="","",selection!B61)</f>
        <v/>
      </c>
      <c r="C186" s="7">
        <f>IF(selection!C61="","",selection!C61)</f>
        <v/>
      </c>
      <c r="D186" s="13">
        <f>IF(selection!D61="","",selection!D61)</f>
        <v/>
      </c>
      <c r="E186" s="10">
        <f>IF(selection!E61="","",selection!E61)</f>
        <v/>
      </c>
      <c r="F186" s="7">
        <f>IF(selection!F61="","",selection!F61)</f>
        <v/>
      </c>
      <c r="G186" s="14">
        <f>IF(selection!G61="","",selection!G61)</f>
        <v/>
      </c>
      <c r="H186" s="13">
        <f>IF(selection!H61="","",selection!H61)</f>
        <v/>
      </c>
      <c r="I186" s="13">
        <f>IF(selection!I61="","",selection!I61)</f>
        <v/>
      </c>
      <c r="J186" s="13">
        <f>IF(selection!J61="","",selection!J61)</f>
        <v/>
      </c>
      <c r="K186" s="11">
        <f>IF(selection!K61="","",selection!K61)</f>
        <v/>
      </c>
      <c r="L186" s="15">
        <f>IF(selection!L61="","",selection!L61)</f>
        <v/>
      </c>
      <c r="M186" s="7">
        <f>IF(selection!M61="","",selection!M61)</f>
        <v/>
      </c>
      <c r="N186" s="7">
        <f>IF(selection!N61="","",selection!N61)</f>
        <v/>
      </c>
      <c r="U186">
        <f>IF(selection!H183=1,selection!M183,NA())</f>
        <v/>
      </c>
      <c r="V186">
        <f>IF(selection!H183=1,selection!N183,NA())</f>
        <v/>
      </c>
      <c r="W186">
        <f>IF(selection!H183=0,selection!M183,NA())</f>
        <v/>
      </c>
      <c r="X186">
        <f>IF(selection!H183=0,selection!N183,NA())</f>
        <v/>
      </c>
    </row>
    <row r="187">
      <c r="U187">
        <f>IF(selection!H184=1,selection!M184,NA())</f>
        <v/>
      </c>
      <c r="V187">
        <f>IF(selection!H184=1,selection!N184,NA())</f>
        <v/>
      </c>
      <c r="W187">
        <f>IF(selection!H184=0,selection!M184,NA())</f>
        <v/>
      </c>
      <c r="X187">
        <f>IF(selection!H184=0,selection!N184,NA())</f>
        <v/>
      </c>
    </row>
    <row r="188">
      <c r="U188">
        <f>IF(selection!H185=1,selection!M185,NA())</f>
        <v/>
      </c>
      <c r="V188">
        <f>IF(selection!H185=1,selection!N185,NA())</f>
        <v/>
      </c>
      <c r="W188">
        <f>IF(selection!H185=0,selection!M185,NA())</f>
        <v/>
      </c>
      <c r="X188">
        <f>IF(selection!H185=0,selection!N185,NA())</f>
        <v/>
      </c>
    </row>
    <row r="189">
      <c r="U189">
        <f>IF(selection!H186=1,selection!M186,NA())</f>
        <v/>
      </c>
      <c r="V189">
        <f>IF(selection!H186=1,selection!N186,NA())</f>
        <v/>
      </c>
      <c r="W189">
        <f>IF(selection!H186=0,selection!M186,NA())</f>
        <v/>
      </c>
      <c r="X189">
        <f>IF(selection!H186=0,selection!N186,NA())</f>
        <v/>
      </c>
    </row>
    <row r="190">
      <c r="U190">
        <f>IF(selection!H187=1,selection!M187,NA())</f>
        <v/>
      </c>
      <c r="V190">
        <f>IF(selection!H187=1,selection!N187,NA())</f>
        <v/>
      </c>
      <c r="W190">
        <f>IF(selection!H187=0,selection!M187,NA())</f>
        <v/>
      </c>
      <c r="X190">
        <f>IF(selection!H187=0,selection!N187,NA())</f>
        <v/>
      </c>
    </row>
    <row r="191">
      <c r="U191">
        <f>IF(selection!H188=1,selection!M188,NA())</f>
        <v/>
      </c>
      <c r="V191">
        <f>IF(selection!H188=1,selection!N188,NA())</f>
        <v/>
      </c>
      <c r="W191">
        <f>IF(selection!H188=0,selection!M188,NA())</f>
        <v/>
      </c>
      <c r="X191">
        <f>IF(selection!H188=0,selection!N188,NA())</f>
        <v/>
      </c>
    </row>
    <row r="192">
      <c r="U192">
        <f>IF(selection!H189=1,selection!M189,NA())</f>
        <v/>
      </c>
      <c r="V192">
        <f>IF(selection!H189=1,selection!N189,NA())</f>
        <v/>
      </c>
      <c r="W192">
        <f>IF(selection!H189=0,selection!M189,NA())</f>
        <v/>
      </c>
      <c r="X192">
        <f>IF(selection!H189=0,selection!N189,NA())</f>
        <v/>
      </c>
    </row>
    <row r="193">
      <c r="U193">
        <f>IF(selection!H190=1,selection!M190,NA())</f>
        <v/>
      </c>
      <c r="V193">
        <f>IF(selection!H190=1,selection!N190,NA())</f>
        <v/>
      </c>
      <c r="W193">
        <f>IF(selection!H190=0,selection!M190,NA())</f>
        <v/>
      </c>
      <c r="X193">
        <f>IF(selection!H190=0,selection!N190,NA())</f>
        <v/>
      </c>
    </row>
    <row r="194">
      <c r="U194">
        <f>IF(selection!H191=1,selection!M191,NA())</f>
        <v/>
      </c>
      <c r="V194">
        <f>IF(selection!H191=1,selection!N191,NA())</f>
        <v/>
      </c>
      <c r="W194">
        <f>IF(selection!H191=0,selection!M191,NA())</f>
        <v/>
      </c>
      <c r="X194">
        <f>IF(selection!H191=0,selection!N191,NA())</f>
        <v/>
      </c>
    </row>
    <row r="195">
      <c r="U195">
        <f>IF(selection!H192=1,selection!M192,NA())</f>
        <v/>
      </c>
      <c r="V195">
        <f>IF(selection!H192=1,selection!N192,NA())</f>
        <v/>
      </c>
      <c r="W195">
        <f>IF(selection!H192=0,selection!M192,NA())</f>
        <v/>
      </c>
      <c r="X195">
        <f>IF(selection!H192=0,selection!N192,NA())</f>
        <v/>
      </c>
    </row>
    <row r="196">
      <c r="U196">
        <f>IF(selection!H193=1,selection!M193,NA())</f>
        <v/>
      </c>
      <c r="V196">
        <f>IF(selection!H193=1,selection!N193,NA())</f>
        <v/>
      </c>
      <c r="W196">
        <f>IF(selection!H193=0,selection!M193,NA())</f>
        <v/>
      </c>
      <c r="X196">
        <f>IF(selection!H193=0,selection!N193,NA())</f>
        <v/>
      </c>
    </row>
    <row r="197">
      <c r="U197">
        <f>IF(selection!H194=1,selection!M194,NA())</f>
        <v/>
      </c>
      <c r="V197">
        <f>IF(selection!H194=1,selection!N194,NA())</f>
        <v/>
      </c>
      <c r="W197">
        <f>IF(selection!H194=0,selection!M194,NA())</f>
        <v/>
      </c>
      <c r="X197">
        <f>IF(selection!H194=0,selection!N194,NA())</f>
        <v/>
      </c>
    </row>
    <row r="198">
      <c r="U198">
        <f>IF(selection!H195=1,selection!M195,NA())</f>
        <v/>
      </c>
      <c r="V198">
        <f>IF(selection!H195=1,selection!N195,NA())</f>
        <v/>
      </c>
      <c r="W198">
        <f>IF(selection!H195=0,selection!M195,NA())</f>
        <v/>
      </c>
      <c r="X198">
        <f>IF(selection!H195=0,selection!N195,NA())</f>
        <v/>
      </c>
    </row>
    <row r="199">
      <c r="U199">
        <f>IF(selection!H196=1,selection!M196,NA())</f>
        <v/>
      </c>
      <c r="V199">
        <f>IF(selection!H196=1,selection!N196,NA())</f>
        <v/>
      </c>
      <c r="W199">
        <f>IF(selection!H196=0,selection!M196,NA())</f>
        <v/>
      </c>
      <c r="X199">
        <f>IF(selection!H196=0,selection!N196,NA())</f>
        <v/>
      </c>
    </row>
    <row r="200">
      <c r="U200">
        <f>IF(selection!H197=1,selection!M197,NA())</f>
        <v/>
      </c>
      <c r="V200">
        <f>IF(selection!H197=1,selection!N197,NA())</f>
        <v/>
      </c>
      <c r="W200">
        <f>IF(selection!H197=0,selection!M197,NA())</f>
        <v/>
      </c>
      <c r="X200">
        <f>IF(selection!H197=0,selection!N197,NA())</f>
        <v/>
      </c>
    </row>
    <row r="201">
      <c r="U201">
        <f>IF(selection!H198=1,selection!M198,NA())</f>
        <v/>
      </c>
      <c r="V201">
        <f>IF(selection!H198=1,selection!N198,NA())</f>
        <v/>
      </c>
      <c r="W201">
        <f>IF(selection!H198=0,selection!M198,NA())</f>
        <v/>
      </c>
      <c r="X201">
        <f>IF(selection!H198=0,selection!N198,NA())</f>
        <v/>
      </c>
    </row>
    <row r="202">
      <c r="U202">
        <f>IF(selection!H199=1,selection!M199,NA())</f>
        <v/>
      </c>
      <c r="V202">
        <f>IF(selection!H199=1,selection!N199,NA())</f>
        <v/>
      </c>
      <c r="W202">
        <f>IF(selection!H199=0,selection!M199,NA())</f>
        <v/>
      </c>
      <c r="X202">
        <f>IF(selection!H199=0,selection!N199,NA())</f>
        <v/>
      </c>
    </row>
    <row r="203">
      <c r="U203">
        <f>IF(selection!H200=1,selection!M200,NA())</f>
        <v/>
      </c>
      <c r="V203">
        <f>IF(selection!H200=1,selection!N200,NA())</f>
        <v/>
      </c>
      <c r="W203">
        <f>IF(selection!H200=0,selection!M200,NA())</f>
        <v/>
      </c>
      <c r="X203">
        <f>IF(selection!H200=0,selection!N200,NA())</f>
        <v/>
      </c>
    </row>
    <row r="204">
      <c r="U204">
        <f>IF(selection!H201=1,selection!M201,NA())</f>
        <v/>
      </c>
      <c r="V204">
        <f>IF(selection!H201=1,selection!N201,NA())</f>
        <v/>
      </c>
      <c r="W204">
        <f>IF(selection!H201=0,selection!M201,NA())</f>
        <v/>
      </c>
      <c r="X204">
        <f>IF(selection!H201=0,selection!N201,NA())</f>
        <v/>
      </c>
    </row>
    <row r="205">
      <c r="U205">
        <f>IF(selection!H202=1,selection!M202,NA())</f>
        <v/>
      </c>
      <c r="V205">
        <f>IF(selection!H202=1,selection!N202,NA())</f>
        <v/>
      </c>
      <c r="W205">
        <f>IF(selection!H202=0,selection!M202,NA())</f>
        <v/>
      </c>
      <c r="X205">
        <f>IF(selection!H202=0,selection!N202,NA())</f>
        <v/>
      </c>
    </row>
    <row r="206">
      <c r="U206">
        <f>IF(selection!H203=1,selection!M203,NA())</f>
        <v/>
      </c>
      <c r="V206">
        <f>IF(selection!H203=1,selection!N203,NA())</f>
        <v/>
      </c>
      <c r="W206">
        <f>IF(selection!H203=0,selection!M203,NA())</f>
        <v/>
      </c>
      <c r="X206">
        <f>IF(selection!H203=0,selection!N203,NA())</f>
        <v/>
      </c>
    </row>
    <row r="207">
      <c r="U207">
        <f>IF(selection!H204=1,selection!M204,NA())</f>
        <v/>
      </c>
      <c r="V207">
        <f>IF(selection!H204=1,selection!N204,NA())</f>
        <v/>
      </c>
      <c r="W207">
        <f>IF(selection!H204=0,selection!M204,NA())</f>
        <v/>
      </c>
      <c r="X207">
        <f>IF(selection!H204=0,selection!N204,NA())</f>
        <v/>
      </c>
    </row>
    <row r="208">
      <c r="U208">
        <f>IF(selection!H205=1,selection!M205,NA())</f>
        <v/>
      </c>
      <c r="V208">
        <f>IF(selection!H205=1,selection!N205,NA())</f>
        <v/>
      </c>
      <c r="W208">
        <f>IF(selection!H205=0,selection!M205,NA())</f>
        <v/>
      </c>
      <c r="X208">
        <f>IF(selection!H205=0,selection!N205,NA())</f>
        <v/>
      </c>
    </row>
    <row r="209">
      <c r="U209">
        <f>IF(selection!H206=1,selection!M206,NA())</f>
        <v/>
      </c>
      <c r="V209">
        <f>IF(selection!H206=1,selection!N206,NA())</f>
        <v/>
      </c>
      <c r="W209">
        <f>IF(selection!H206=0,selection!M206,NA())</f>
        <v/>
      </c>
      <c r="X209">
        <f>IF(selection!H206=0,selection!N206,NA())</f>
        <v/>
      </c>
    </row>
    <row r="210">
      <c r="U210">
        <f>IF(selection!H207=1,selection!M207,NA())</f>
        <v/>
      </c>
      <c r="V210">
        <f>IF(selection!H207=1,selection!N207,NA())</f>
        <v/>
      </c>
      <c r="W210">
        <f>IF(selection!H207=0,selection!M207,NA())</f>
        <v/>
      </c>
      <c r="X210">
        <f>IF(selection!H207=0,selection!N207,NA())</f>
        <v/>
      </c>
    </row>
    <row r="211">
      <c r="U211">
        <f>IF(selection!H208=1,selection!M208,NA())</f>
        <v/>
      </c>
      <c r="V211">
        <f>IF(selection!H208=1,selection!N208,NA())</f>
        <v/>
      </c>
      <c r="W211">
        <f>IF(selection!H208=0,selection!M208,NA())</f>
        <v/>
      </c>
      <c r="X211">
        <f>IF(selection!H208=0,selection!N208,NA())</f>
        <v/>
      </c>
    </row>
    <row r="212">
      <c r="U212">
        <f>IF(selection!H209=1,selection!M209,NA())</f>
        <v/>
      </c>
      <c r="V212">
        <f>IF(selection!H209=1,selection!N209,NA())</f>
        <v/>
      </c>
      <c r="W212">
        <f>IF(selection!H209=0,selection!M209,NA())</f>
        <v/>
      </c>
      <c r="X212">
        <f>IF(selection!H209=0,selection!N209,NA())</f>
        <v/>
      </c>
    </row>
    <row r="213">
      <c r="U213">
        <f>IF(selection!H210=1,selection!M210,NA())</f>
        <v/>
      </c>
      <c r="V213">
        <f>IF(selection!H210=1,selection!N210,NA())</f>
        <v/>
      </c>
      <c r="W213">
        <f>IF(selection!H210=0,selection!M210,NA())</f>
        <v/>
      </c>
      <c r="X213">
        <f>IF(selection!H210=0,selection!N210,NA())</f>
        <v/>
      </c>
    </row>
    <row r="214">
      <c r="U214">
        <f>IF(selection!H211=1,selection!M211,NA())</f>
        <v/>
      </c>
      <c r="V214">
        <f>IF(selection!H211=1,selection!N211,NA())</f>
        <v/>
      </c>
      <c r="W214">
        <f>IF(selection!H211=0,selection!M211,NA())</f>
        <v/>
      </c>
      <c r="X214">
        <f>IF(selection!H211=0,selection!N211,NA())</f>
        <v/>
      </c>
    </row>
    <row r="215">
      <c r="U215">
        <f>IF(selection!H212=1,selection!M212,NA())</f>
        <v/>
      </c>
      <c r="V215">
        <f>IF(selection!H212=1,selection!N212,NA())</f>
        <v/>
      </c>
      <c r="W215">
        <f>IF(selection!H212=0,selection!M212,NA())</f>
        <v/>
      </c>
      <c r="X215">
        <f>IF(selection!H212=0,selection!N212,NA())</f>
        <v/>
      </c>
    </row>
    <row r="216">
      <c r="U216">
        <f>IF(selection!H213=1,selection!M213,NA())</f>
        <v/>
      </c>
      <c r="V216">
        <f>IF(selection!H213=1,selection!N213,NA())</f>
        <v/>
      </c>
      <c r="W216">
        <f>IF(selection!H213=0,selection!M213,NA())</f>
        <v/>
      </c>
      <c r="X216">
        <f>IF(selection!H213=0,selection!N213,NA())</f>
        <v/>
      </c>
    </row>
    <row r="217">
      <c r="U217">
        <f>IF(selection!H214=1,selection!M214,NA())</f>
        <v/>
      </c>
      <c r="V217">
        <f>IF(selection!H214=1,selection!N214,NA())</f>
        <v/>
      </c>
      <c r="W217">
        <f>IF(selection!H214=0,selection!M214,NA())</f>
        <v/>
      </c>
      <c r="X217">
        <f>IF(selection!H214=0,selection!N214,NA())</f>
        <v/>
      </c>
    </row>
    <row r="218">
      <c r="U218">
        <f>IF(selection!H215=1,selection!M215,NA())</f>
        <v/>
      </c>
      <c r="V218">
        <f>IF(selection!H215=1,selection!N215,NA())</f>
        <v/>
      </c>
      <c r="W218">
        <f>IF(selection!H215=0,selection!M215,NA())</f>
        <v/>
      </c>
      <c r="X218">
        <f>IF(selection!H215=0,selection!N215,NA())</f>
        <v/>
      </c>
    </row>
    <row r="219">
      <c r="U219">
        <f>IF(selection!H216=1,selection!M216,NA())</f>
        <v/>
      </c>
      <c r="V219">
        <f>IF(selection!H216=1,selection!N216,NA())</f>
        <v/>
      </c>
      <c r="W219">
        <f>IF(selection!H216=0,selection!M216,NA())</f>
        <v/>
      </c>
      <c r="X219">
        <f>IF(selection!H216=0,selection!N216,NA())</f>
        <v/>
      </c>
    </row>
    <row r="220">
      <c r="U220">
        <f>IF(selection!H217=1,selection!M217,NA())</f>
        <v/>
      </c>
      <c r="V220">
        <f>IF(selection!H217=1,selection!N217,NA())</f>
        <v/>
      </c>
      <c r="W220">
        <f>IF(selection!H217=0,selection!M217,NA())</f>
        <v/>
      </c>
      <c r="X220">
        <f>IF(selection!H217=0,selection!N217,NA())</f>
        <v/>
      </c>
    </row>
    <row r="221">
      <c r="U221">
        <f>IF(selection!H218=1,selection!M218,NA())</f>
        <v/>
      </c>
      <c r="V221">
        <f>IF(selection!H218=1,selection!N218,NA())</f>
        <v/>
      </c>
      <c r="W221">
        <f>IF(selection!H218=0,selection!M218,NA())</f>
        <v/>
      </c>
      <c r="X221">
        <f>IF(selection!H218=0,selection!N218,NA())</f>
        <v/>
      </c>
    </row>
    <row r="222">
      <c r="U222">
        <f>IF(selection!H219=1,selection!M219,NA())</f>
        <v/>
      </c>
      <c r="V222">
        <f>IF(selection!H219=1,selection!N219,NA())</f>
        <v/>
      </c>
      <c r="W222">
        <f>IF(selection!H219=0,selection!M219,NA())</f>
        <v/>
      </c>
      <c r="X222">
        <f>IF(selection!H219=0,selection!N219,NA())</f>
        <v/>
      </c>
    </row>
    <row r="223">
      <c r="U223">
        <f>IF(selection!H220=1,selection!M220,NA())</f>
        <v/>
      </c>
      <c r="V223">
        <f>IF(selection!H220=1,selection!N220,NA())</f>
        <v/>
      </c>
      <c r="W223">
        <f>IF(selection!H220=0,selection!M220,NA())</f>
        <v/>
      </c>
      <c r="X223">
        <f>IF(selection!H220=0,selection!N220,NA())</f>
        <v/>
      </c>
    </row>
    <row r="224">
      <c r="U224">
        <f>IF(selection!H221=1,selection!M221,NA())</f>
        <v/>
      </c>
      <c r="V224">
        <f>IF(selection!H221=1,selection!N221,NA())</f>
        <v/>
      </c>
      <c r="W224">
        <f>IF(selection!H221=0,selection!M221,NA())</f>
        <v/>
      </c>
      <c r="X224">
        <f>IF(selection!H221=0,selection!N221,NA())</f>
        <v/>
      </c>
    </row>
    <row r="225">
      <c r="U225">
        <f>IF(selection!H222=1,selection!M222,NA())</f>
        <v/>
      </c>
      <c r="V225">
        <f>IF(selection!H222=1,selection!N222,NA())</f>
        <v/>
      </c>
      <c r="W225">
        <f>IF(selection!H222=0,selection!M222,NA())</f>
        <v/>
      </c>
      <c r="X225">
        <f>IF(selection!H222=0,selection!N222,NA())</f>
        <v/>
      </c>
    </row>
    <row r="226">
      <c r="U226">
        <f>IF(selection!H223=1,selection!M223,NA())</f>
        <v/>
      </c>
      <c r="V226">
        <f>IF(selection!H223=1,selection!N223,NA())</f>
        <v/>
      </c>
      <c r="W226">
        <f>IF(selection!H223=0,selection!M223,NA())</f>
        <v/>
      </c>
      <c r="X226">
        <f>IF(selection!H223=0,selection!N223,NA())</f>
        <v/>
      </c>
    </row>
    <row r="227">
      <c r="U227">
        <f>IF(selection!H224=1,selection!M224,NA())</f>
        <v/>
      </c>
      <c r="V227">
        <f>IF(selection!H224=1,selection!N224,NA())</f>
        <v/>
      </c>
      <c r="W227">
        <f>IF(selection!H224=0,selection!M224,NA())</f>
        <v/>
      </c>
      <c r="X227">
        <f>IF(selection!H224=0,selection!N224,NA())</f>
        <v/>
      </c>
    </row>
    <row r="228">
      <c r="U228">
        <f>IF(selection!H225=1,selection!M225,NA())</f>
        <v/>
      </c>
      <c r="V228">
        <f>IF(selection!H225=1,selection!N225,NA())</f>
        <v/>
      </c>
      <c r="W228">
        <f>IF(selection!H225=0,selection!M225,NA())</f>
        <v/>
      </c>
      <c r="X228">
        <f>IF(selection!H225=0,selection!N225,NA())</f>
        <v/>
      </c>
    </row>
    <row r="229">
      <c r="U229">
        <f>IF(selection!H226=1,selection!M226,NA())</f>
        <v/>
      </c>
      <c r="V229">
        <f>IF(selection!H226=1,selection!N226,NA())</f>
        <v/>
      </c>
      <c r="W229">
        <f>IF(selection!H226=0,selection!M226,NA())</f>
        <v/>
      </c>
      <c r="X229">
        <f>IF(selection!H226=0,selection!N226,NA())</f>
        <v/>
      </c>
    </row>
    <row r="230">
      <c r="U230">
        <f>IF(selection!H227=1,selection!M227,NA())</f>
        <v/>
      </c>
      <c r="V230">
        <f>IF(selection!H227=1,selection!N227,NA())</f>
        <v/>
      </c>
      <c r="W230">
        <f>IF(selection!H227=0,selection!M227,NA())</f>
        <v/>
      </c>
      <c r="X230">
        <f>IF(selection!H227=0,selection!N227,NA())</f>
        <v/>
      </c>
    </row>
    <row r="231">
      <c r="U231">
        <f>IF(selection!H228=1,selection!M228,NA())</f>
        <v/>
      </c>
      <c r="V231">
        <f>IF(selection!H228=1,selection!N228,NA())</f>
        <v/>
      </c>
      <c r="W231">
        <f>IF(selection!H228=0,selection!M228,NA())</f>
        <v/>
      </c>
      <c r="X231">
        <f>IF(selection!H228=0,selection!N228,NA())</f>
        <v/>
      </c>
    </row>
    <row r="232">
      <c r="U232">
        <f>IF(selection!H229=1,selection!M229,NA())</f>
        <v/>
      </c>
      <c r="V232">
        <f>IF(selection!H229=1,selection!N229,NA())</f>
        <v/>
      </c>
      <c r="W232">
        <f>IF(selection!H229=0,selection!M229,NA())</f>
        <v/>
      </c>
      <c r="X232">
        <f>IF(selection!H229=0,selection!N229,NA())</f>
        <v/>
      </c>
    </row>
    <row r="233">
      <c r="U233">
        <f>IF(selection!H230=1,selection!M230,NA())</f>
        <v/>
      </c>
      <c r="V233">
        <f>IF(selection!H230=1,selection!N230,NA())</f>
        <v/>
      </c>
      <c r="W233">
        <f>IF(selection!H230=0,selection!M230,NA())</f>
        <v/>
      </c>
      <c r="X233">
        <f>IF(selection!H230=0,selection!N230,NA())</f>
        <v/>
      </c>
    </row>
    <row r="234">
      <c r="U234">
        <f>IF(selection!H231=1,selection!M231,NA())</f>
        <v/>
      </c>
      <c r="V234">
        <f>IF(selection!H231=1,selection!N231,NA())</f>
        <v/>
      </c>
      <c r="W234">
        <f>IF(selection!H231=0,selection!M231,NA())</f>
        <v/>
      </c>
      <c r="X234">
        <f>IF(selection!H231=0,selection!N231,NA())</f>
        <v/>
      </c>
    </row>
    <row r="235">
      <c r="U235">
        <f>IF(selection!H232=1,selection!M232,NA())</f>
        <v/>
      </c>
      <c r="V235">
        <f>IF(selection!H232=1,selection!N232,NA())</f>
        <v/>
      </c>
      <c r="W235">
        <f>IF(selection!H232=0,selection!M232,NA())</f>
        <v/>
      </c>
      <c r="X235">
        <f>IF(selection!H232=0,selection!N232,NA())</f>
        <v/>
      </c>
    </row>
    <row r="236">
      <c r="U236">
        <f>IF(selection!H233=1,selection!M233,NA())</f>
        <v/>
      </c>
      <c r="V236">
        <f>IF(selection!H233=1,selection!N233,NA())</f>
        <v/>
      </c>
      <c r="W236">
        <f>IF(selection!H233=0,selection!M233,NA())</f>
        <v/>
      </c>
      <c r="X236">
        <f>IF(selection!H233=0,selection!N233,NA())</f>
        <v/>
      </c>
    </row>
    <row r="237">
      <c r="U237">
        <f>IF(selection!H234=1,selection!M234,NA())</f>
        <v/>
      </c>
      <c r="V237">
        <f>IF(selection!H234=1,selection!N234,NA())</f>
        <v/>
      </c>
      <c r="W237">
        <f>IF(selection!H234=0,selection!M234,NA())</f>
        <v/>
      </c>
      <c r="X237">
        <f>IF(selection!H234=0,selection!N234,NA())</f>
        <v/>
      </c>
    </row>
    <row r="238">
      <c r="U238">
        <f>IF(selection!H235=1,selection!M235,NA())</f>
        <v/>
      </c>
      <c r="V238">
        <f>IF(selection!H235=1,selection!N235,NA())</f>
        <v/>
      </c>
      <c r="W238">
        <f>IF(selection!H235=0,selection!M235,NA())</f>
        <v/>
      </c>
      <c r="X238">
        <f>IF(selection!H235=0,selection!N235,NA())</f>
        <v/>
      </c>
    </row>
    <row r="239">
      <c r="U239">
        <f>IF(selection!H236=1,selection!M236,NA())</f>
        <v/>
      </c>
      <c r="V239">
        <f>IF(selection!H236=1,selection!N236,NA())</f>
        <v/>
      </c>
      <c r="W239">
        <f>IF(selection!H236=0,selection!M236,NA())</f>
        <v/>
      </c>
      <c r="X239">
        <f>IF(selection!H236=0,selection!N236,NA())</f>
        <v/>
      </c>
    </row>
    <row r="240">
      <c r="U240">
        <f>IF(selection!H237=1,selection!M237,NA())</f>
        <v/>
      </c>
      <c r="V240">
        <f>IF(selection!H237=1,selection!N237,NA())</f>
        <v/>
      </c>
      <c r="W240">
        <f>IF(selection!H237=0,selection!M237,NA())</f>
        <v/>
      </c>
      <c r="X240">
        <f>IF(selection!H237=0,selection!N237,NA())</f>
        <v/>
      </c>
    </row>
    <row r="241">
      <c r="U241">
        <f>IF(selection!H238=1,selection!M238,NA())</f>
        <v/>
      </c>
      <c r="V241">
        <f>IF(selection!H238=1,selection!N238,NA())</f>
        <v/>
      </c>
      <c r="W241">
        <f>IF(selection!H238=0,selection!M238,NA())</f>
        <v/>
      </c>
      <c r="X241">
        <f>IF(selection!H238=0,selection!N238,NA())</f>
        <v/>
      </c>
    </row>
    <row r="242">
      <c r="U242">
        <f>IF(selection!H239=1,selection!M239,NA())</f>
        <v/>
      </c>
      <c r="V242">
        <f>IF(selection!H239=1,selection!N239,NA())</f>
        <v/>
      </c>
      <c r="W242">
        <f>IF(selection!H239=0,selection!M239,NA())</f>
        <v/>
      </c>
      <c r="X242">
        <f>IF(selection!H239=0,selection!N239,NA())</f>
        <v/>
      </c>
    </row>
    <row r="243">
      <c r="U243">
        <f>IF(selection!H240=1,selection!M240,NA())</f>
        <v/>
      </c>
      <c r="V243">
        <f>IF(selection!H240=1,selection!N240,NA())</f>
        <v/>
      </c>
      <c r="W243">
        <f>IF(selection!H240=0,selection!M240,NA())</f>
        <v/>
      </c>
      <c r="X243">
        <f>IF(selection!H240=0,selection!N240,NA())</f>
        <v/>
      </c>
    </row>
    <row r="244">
      <c r="U244">
        <f>IF(selection!H241=1,selection!M241,NA())</f>
        <v/>
      </c>
      <c r="V244">
        <f>IF(selection!H241=1,selection!N241,NA())</f>
        <v/>
      </c>
      <c r="W244">
        <f>IF(selection!H241=0,selection!M241,NA())</f>
        <v/>
      </c>
      <c r="X244">
        <f>IF(selection!H241=0,selection!N241,NA())</f>
        <v/>
      </c>
    </row>
    <row r="245">
      <c r="U245">
        <f>IF(selection!H242=1,selection!M242,NA())</f>
        <v/>
      </c>
      <c r="V245">
        <f>IF(selection!H242=1,selection!N242,NA())</f>
        <v/>
      </c>
      <c r="W245">
        <f>IF(selection!H242=0,selection!M242,NA())</f>
        <v/>
      </c>
      <c r="X245">
        <f>IF(selection!H242=0,selection!N242,NA())</f>
        <v/>
      </c>
    </row>
    <row r="246">
      <c r="U246">
        <f>IF(selection!H243=1,selection!M243,NA())</f>
        <v/>
      </c>
      <c r="V246">
        <f>IF(selection!H243=1,selection!N243,NA())</f>
        <v/>
      </c>
      <c r="W246">
        <f>IF(selection!H243=0,selection!M243,NA())</f>
        <v/>
      </c>
      <c r="X246">
        <f>IF(selection!H243=0,selection!N243,NA())</f>
        <v/>
      </c>
    </row>
    <row r="247">
      <c r="U247">
        <f>IF(selection!H244=1,selection!M244,NA())</f>
        <v/>
      </c>
      <c r="V247">
        <f>IF(selection!H244=1,selection!N244,NA())</f>
        <v/>
      </c>
      <c r="W247">
        <f>IF(selection!H244=0,selection!M244,NA())</f>
        <v/>
      </c>
      <c r="X247">
        <f>IF(selection!H244=0,selection!N244,NA())</f>
        <v/>
      </c>
    </row>
    <row r="248">
      <c r="U248">
        <f>IF(selection!H245=1,selection!M245,NA())</f>
        <v/>
      </c>
      <c r="V248">
        <f>IF(selection!H245=1,selection!N245,NA())</f>
        <v/>
      </c>
      <c r="W248">
        <f>IF(selection!H245=0,selection!M245,NA())</f>
        <v/>
      </c>
      <c r="X248">
        <f>IF(selection!H245=0,selection!N245,NA())</f>
        <v/>
      </c>
    </row>
    <row r="249">
      <c r="U249">
        <f>IF(selection!H246=1,selection!M246,NA())</f>
        <v/>
      </c>
      <c r="V249">
        <f>IF(selection!H246=1,selection!N246,NA())</f>
        <v/>
      </c>
      <c r="W249">
        <f>IF(selection!H246=0,selection!M246,NA())</f>
        <v/>
      </c>
      <c r="X249">
        <f>IF(selection!H246=0,selection!N246,NA())</f>
        <v/>
      </c>
    </row>
    <row r="250">
      <c r="U250">
        <f>IF(selection!H247=1,selection!M247,NA())</f>
        <v/>
      </c>
      <c r="V250">
        <f>IF(selection!H247=1,selection!N247,NA())</f>
        <v/>
      </c>
      <c r="W250">
        <f>IF(selection!H247=0,selection!M247,NA())</f>
        <v/>
      </c>
      <c r="X250">
        <f>IF(selection!H247=0,selection!N247,NA())</f>
        <v/>
      </c>
    </row>
    <row r="251">
      <c r="U251">
        <f>IF(selection!H248=1,selection!M248,NA())</f>
        <v/>
      </c>
      <c r="V251">
        <f>IF(selection!H248=1,selection!N248,NA())</f>
        <v/>
      </c>
      <c r="W251">
        <f>IF(selection!H248=0,selection!M248,NA())</f>
        <v/>
      </c>
      <c r="X251">
        <f>IF(selection!H248=0,selection!N248,NA())</f>
        <v/>
      </c>
    </row>
    <row r="252">
      <c r="U252">
        <f>IF(selection!H249=1,selection!M249,NA())</f>
        <v/>
      </c>
      <c r="V252">
        <f>IF(selection!H249=1,selection!N249,NA())</f>
        <v/>
      </c>
      <c r="W252">
        <f>IF(selection!H249=0,selection!M249,NA())</f>
        <v/>
      </c>
      <c r="X252">
        <f>IF(selection!H249=0,selection!N249,NA())</f>
        <v/>
      </c>
    </row>
    <row r="253">
      <c r="U253">
        <f>IF(selection!H250=1,selection!M250,NA())</f>
        <v/>
      </c>
      <c r="V253">
        <f>IF(selection!H250=1,selection!N250,NA())</f>
        <v/>
      </c>
      <c r="W253">
        <f>IF(selection!H250=0,selection!M250,NA())</f>
        <v/>
      </c>
      <c r="X253">
        <f>IF(selection!H250=0,selection!N250,NA())</f>
        <v/>
      </c>
    </row>
    <row r="254">
      <c r="U254">
        <f>IF(selection!H251=1,selection!M251,NA())</f>
        <v/>
      </c>
      <c r="V254">
        <f>IF(selection!H251=1,selection!N251,NA())</f>
        <v/>
      </c>
      <c r="W254">
        <f>IF(selection!H251=0,selection!M251,NA())</f>
        <v/>
      </c>
      <c r="X254">
        <f>IF(selection!H251=0,selection!N251,NA())</f>
        <v/>
      </c>
    </row>
    <row r="255">
      <c r="U255">
        <f>IF(selection!H252=1,selection!M252,NA())</f>
        <v/>
      </c>
      <c r="V255">
        <f>IF(selection!H252=1,selection!N252,NA())</f>
        <v/>
      </c>
      <c r="W255">
        <f>IF(selection!H252=0,selection!M252,NA())</f>
        <v/>
      </c>
      <c r="X255">
        <f>IF(selection!H252=0,selection!N252,NA())</f>
        <v/>
      </c>
    </row>
    <row r="256">
      <c r="U256">
        <f>IF(selection!H253=1,selection!M253,NA())</f>
        <v/>
      </c>
      <c r="V256">
        <f>IF(selection!H253=1,selection!N253,NA())</f>
        <v/>
      </c>
      <c r="W256">
        <f>IF(selection!H253=0,selection!M253,NA())</f>
        <v/>
      </c>
      <c r="X256">
        <f>IF(selection!H253=0,selection!N253,NA())</f>
        <v/>
      </c>
    </row>
    <row r="257">
      <c r="U257">
        <f>IF(selection!H254=1,selection!M254,NA())</f>
        <v/>
      </c>
      <c r="V257">
        <f>IF(selection!H254=1,selection!N254,NA())</f>
        <v/>
      </c>
      <c r="W257">
        <f>IF(selection!H254=0,selection!M254,NA())</f>
        <v/>
      </c>
      <c r="X257">
        <f>IF(selection!H254=0,selection!N254,NA())</f>
        <v/>
      </c>
    </row>
    <row r="258">
      <c r="U258">
        <f>IF(selection!H255=1,selection!M255,NA())</f>
        <v/>
      </c>
      <c r="V258">
        <f>IF(selection!H255=1,selection!N255,NA())</f>
        <v/>
      </c>
      <c r="W258">
        <f>IF(selection!H255=0,selection!M255,NA())</f>
        <v/>
      </c>
      <c r="X258">
        <f>IF(selection!H255=0,selection!N255,NA())</f>
        <v/>
      </c>
    </row>
    <row r="259">
      <c r="U259">
        <f>IF(selection!H256=1,selection!M256,NA())</f>
        <v/>
      </c>
      <c r="V259">
        <f>IF(selection!H256=1,selection!N256,NA())</f>
        <v/>
      </c>
      <c r="W259">
        <f>IF(selection!H256=0,selection!M256,NA())</f>
        <v/>
      </c>
      <c r="X259">
        <f>IF(selection!H256=0,selection!N256,NA())</f>
        <v/>
      </c>
    </row>
    <row r="260">
      <c r="U260">
        <f>IF(selection!H257=1,selection!M257,NA())</f>
        <v/>
      </c>
      <c r="V260">
        <f>IF(selection!H257=1,selection!N257,NA())</f>
        <v/>
      </c>
      <c r="W260">
        <f>IF(selection!H257=0,selection!M257,NA())</f>
        <v/>
      </c>
      <c r="X260">
        <f>IF(selection!H257=0,selection!N257,NA())</f>
        <v/>
      </c>
    </row>
    <row r="261">
      <c r="U261">
        <f>IF(selection!H258=1,selection!M258,NA())</f>
        <v/>
      </c>
      <c r="V261">
        <f>IF(selection!H258=1,selection!N258,NA())</f>
        <v/>
      </c>
      <c r="W261">
        <f>IF(selection!H258=0,selection!M258,NA())</f>
        <v/>
      </c>
      <c r="X261">
        <f>IF(selection!H258=0,selection!N258,NA())</f>
        <v/>
      </c>
    </row>
    <row r="262">
      <c r="U262">
        <f>IF(selection!H259=1,selection!M259,NA())</f>
        <v/>
      </c>
      <c r="V262">
        <f>IF(selection!H259=1,selection!N259,NA())</f>
        <v/>
      </c>
      <c r="W262">
        <f>IF(selection!H259=0,selection!M259,NA())</f>
        <v/>
      </c>
      <c r="X262">
        <f>IF(selection!H259=0,selection!N259,NA())</f>
        <v/>
      </c>
    </row>
    <row r="263">
      <c r="U263">
        <f>IF(selection!H260=1,selection!M260,NA())</f>
        <v/>
      </c>
      <c r="V263">
        <f>IF(selection!H260=1,selection!N260,NA())</f>
        <v/>
      </c>
      <c r="W263">
        <f>IF(selection!H260=0,selection!M260,NA())</f>
        <v/>
      </c>
      <c r="X263">
        <f>IF(selection!H260=0,selection!N260,NA())</f>
        <v/>
      </c>
    </row>
    <row r="264">
      <c r="U264">
        <f>IF(selection!H261=1,selection!M261,NA())</f>
        <v/>
      </c>
      <c r="V264">
        <f>IF(selection!H261=1,selection!N261,NA())</f>
        <v/>
      </c>
      <c r="W264">
        <f>IF(selection!H261=0,selection!M261,NA())</f>
        <v/>
      </c>
      <c r="X264">
        <f>IF(selection!H261=0,selection!N261,NA())</f>
        <v/>
      </c>
    </row>
    <row r="265">
      <c r="U265">
        <f>IF(selection!H262=1,selection!M262,NA())</f>
        <v/>
      </c>
      <c r="V265">
        <f>IF(selection!H262=1,selection!N262,NA())</f>
        <v/>
      </c>
      <c r="W265">
        <f>IF(selection!H262=0,selection!M262,NA())</f>
        <v/>
      </c>
      <c r="X265">
        <f>IF(selection!H262=0,selection!N262,NA())</f>
        <v/>
      </c>
    </row>
    <row r="266">
      <c r="U266">
        <f>IF(selection!H263=1,selection!M263,NA())</f>
        <v/>
      </c>
      <c r="V266">
        <f>IF(selection!H263=1,selection!N263,NA())</f>
        <v/>
      </c>
      <c r="W266">
        <f>IF(selection!H263=0,selection!M263,NA())</f>
        <v/>
      </c>
      <c r="X266">
        <f>IF(selection!H263=0,selection!N263,NA())</f>
        <v/>
      </c>
    </row>
    <row r="267">
      <c r="U267">
        <f>IF(selection!H264=1,selection!M264,NA())</f>
        <v/>
      </c>
      <c r="V267">
        <f>IF(selection!H264=1,selection!N264,NA())</f>
        <v/>
      </c>
      <c r="W267">
        <f>IF(selection!H264=0,selection!M264,NA())</f>
        <v/>
      </c>
      <c r="X267">
        <f>IF(selection!H264=0,selection!N264,NA())</f>
        <v/>
      </c>
    </row>
    <row r="268">
      <c r="U268">
        <f>IF(selection!H265=1,selection!M265,NA())</f>
        <v/>
      </c>
      <c r="V268">
        <f>IF(selection!H265=1,selection!N265,NA())</f>
        <v/>
      </c>
      <c r="W268">
        <f>IF(selection!H265=0,selection!M265,NA())</f>
        <v/>
      </c>
      <c r="X268">
        <f>IF(selection!H265=0,selection!N265,NA())</f>
        <v/>
      </c>
    </row>
    <row r="269">
      <c r="U269">
        <f>IF(selection!H266=1,selection!M266,NA())</f>
        <v/>
      </c>
      <c r="V269">
        <f>IF(selection!H266=1,selection!N266,NA())</f>
        <v/>
      </c>
      <c r="W269">
        <f>IF(selection!H266=0,selection!M266,NA())</f>
        <v/>
      </c>
      <c r="X269">
        <f>IF(selection!H266=0,selection!N266,NA())</f>
        <v/>
      </c>
    </row>
    <row r="270">
      <c r="U270">
        <f>IF(selection!H267=1,selection!M267,NA())</f>
        <v/>
      </c>
      <c r="V270">
        <f>IF(selection!H267=1,selection!N267,NA())</f>
        <v/>
      </c>
      <c r="W270">
        <f>IF(selection!H267=0,selection!M267,NA())</f>
        <v/>
      </c>
      <c r="X270">
        <f>IF(selection!H267=0,selection!N267,NA())</f>
        <v/>
      </c>
    </row>
    <row r="271">
      <c r="U271">
        <f>IF(selection!H268=1,selection!M268,NA())</f>
        <v/>
      </c>
      <c r="V271">
        <f>IF(selection!H268=1,selection!N268,NA())</f>
        <v/>
      </c>
      <c r="W271">
        <f>IF(selection!H268=0,selection!M268,NA())</f>
        <v/>
      </c>
      <c r="X271">
        <f>IF(selection!H268=0,selection!N268,NA())</f>
        <v/>
      </c>
    </row>
    <row r="272">
      <c r="U272">
        <f>IF(selection!H269=1,selection!M269,NA())</f>
        <v/>
      </c>
      <c r="V272">
        <f>IF(selection!H269=1,selection!N269,NA())</f>
        <v/>
      </c>
      <c r="W272">
        <f>IF(selection!H269=0,selection!M269,NA())</f>
        <v/>
      </c>
      <c r="X272">
        <f>IF(selection!H269=0,selection!N269,NA())</f>
        <v/>
      </c>
    </row>
    <row r="273">
      <c r="U273">
        <f>IF(selection!H270=1,selection!M270,NA())</f>
        <v/>
      </c>
      <c r="V273">
        <f>IF(selection!H270=1,selection!N270,NA())</f>
        <v/>
      </c>
      <c r="W273">
        <f>IF(selection!H270=0,selection!M270,NA())</f>
        <v/>
      </c>
      <c r="X273">
        <f>IF(selection!H270=0,selection!N270,NA())</f>
        <v/>
      </c>
    </row>
    <row r="274">
      <c r="U274">
        <f>IF(selection!H271=1,selection!M271,NA())</f>
        <v/>
      </c>
      <c r="V274">
        <f>IF(selection!H271=1,selection!N271,NA())</f>
        <v/>
      </c>
      <c r="W274">
        <f>IF(selection!H271=0,selection!M271,NA())</f>
        <v/>
      </c>
      <c r="X274">
        <f>IF(selection!H271=0,selection!N271,NA())</f>
        <v/>
      </c>
    </row>
    <row r="275">
      <c r="U275">
        <f>IF(selection!H272=1,selection!M272,NA())</f>
        <v/>
      </c>
      <c r="V275">
        <f>IF(selection!H272=1,selection!N272,NA())</f>
        <v/>
      </c>
      <c r="W275">
        <f>IF(selection!H272=0,selection!M272,NA())</f>
        <v/>
      </c>
      <c r="X275">
        <f>IF(selection!H272=0,selection!N272,NA())</f>
        <v/>
      </c>
    </row>
    <row r="276">
      <c r="U276">
        <f>IF(selection!H273=1,selection!M273,NA())</f>
        <v/>
      </c>
      <c r="V276">
        <f>IF(selection!H273=1,selection!N273,NA())</f>
        <v/>
      </c>
      <c r="W276">
        <f>IF(selection!H273=0,selection!M273,NA())</f>
        <v/>
      </c>
      <c r="X276">
        <f>IF(selection!H273=0,selection!N273,NA())</f>
        <v/>
      </c>
    </row>
    <row r="277">
      <c r="U277">
        <f>IF(selection!H274=1,selection!M274,NA())</f>
        <v/>
      </c>
      <c r="V277">
        <f>IF(selection!H274=1,selection!N274,NA())</f>
        <v/>
      </c>
      <c r="W277">
        <f>IF(selection!H274=0,selection!M274,NA())</f>
        <v/>
      </c>
      <c r="X277">
        <f>IF(selection!H274=0,selection!N274,NA())</f>
        <v/>
      </c>
    </row>
    <row r="278">
      <c r="U278">
        <f>IF(selection!H275=1,selection!M275,NA())</f>
        <v/>
      </c>
      <c r="V278">
        <f>IF(selection!H275=1,selection!N275,NA())</f>
        <v/>
      </c>
      <c r="W278">
        <f>IF(selection!H275=0,selection!M275,NA())</f>
        <v/>
      </c>
      <c r="X278">
        <f>IF(selection!H275=0,selection!N275,NA())</f>
        <v/>
      </c>
    </row>
    <row r="279">
      <c r="U279">
        <f>IF(selection!H276=1,selection!M276,NA())</f>
        <v/>
      </c>
      <c r="V279">
        <f>IF(selection!H276=1,selection!N276,NA())</f>
        <v/>
      </c>
      <c r="W279">
        <f>IF(selection!H276=0,selection!M276,NA())</f>
        <v/>
      </c>
      <c r="X279">
        <f>IF(selection!H276=0,selection!N276,NA())</f>
        <v/>
      </c>
    </row>
    <row r="280">
      <c r="U280">
        <f>IF(selection!H277=1,selection!M277,NA())</f>
        <v/>
      </c>
      <c r="V280">
        <f>IF(selection!H277=1,selection!N277,NA())</f>
        <v/>
      </c>
      <c r="W280">
        <f>IF(selection!H277=0,selection!M277,NA())</f>
        <v/>
      </c>
      <c r="X280">
        <f>IF(selection!H277=0,selection!N277,NA())</f>
        <v/>
      </c>
    </row>
    <row r="281">
      <c r="U281">
        <f>IF(selection!H278=1,selection!M278,NA())</f>
        <v/>
      </c>
      <c r="V281">
        <f>IF(selection!H278=1,selection!N278,NA())</f>
        <v/>
      </c>
      <c r="W281">
        <f>IF(selection!H278=0,selection!M278,NA())</f>
        <v/>
      </c>
      <c r="X281">
        <f>IF(selection!H278=0,selection!N278,NA())</f>
        <v/>
      </c>
    </row>
    <row r="282">
      <c r="U282">
        <f>IF(selection!H279=1,selection!M279,NA())</f>
        <v/>
      </c>
      <c r="V282">
        <f>IF(selection!H279=1,selection!N279,NA())</f>
        <v/>
      </c>
      <c r="W282">
        <f>IF(selection!H279=0,selection!M279,NA())</f>
        <v/>
      </c>
      <c r="X282">
        <f>IF(selection!H279=0,selection!N279,NA())</f>
        <v/>
      </c>
    </row>
    <row r="283">
      <c r="U283">
        <f>IF(selection!H280=1,selection!M280,NA())</f>
        <v/>
      </c>
      <c r="V283">
        <f>IF(selection!H280=1,selection!N280,NA())</f>
        <v/>
      </c>
      <c r="W283">
        <f>IF(selection!H280=0,selection!M280,NA())</f>
        <v/>
      </c>
      <c r="X283">
        <f>IF(selection!H280=0,selection!N280,NA())</f>
        <v/>
      </c>
    </row>
    <row r="284">
      <c r="U284">
        <f>IF(selection!H281=1,selection!M281,NA())</f>
        <v/>
      </c>
      <c r="V284">
        <f>IF(selection!H281=1,selection!N281,NA())</f>
        <v/>
      </c>
      <c r="W284">
        <f>IF(selection!H281=0,selection!M281,NA())</f>
        <v/>
      </c>
      <c r="X284">
        <f>IF(selection!H281=0,selection!N281,NA())</f>
        <v/>
      </c>
    </row>
    <row r="285">
      <c r="U285">
        <f>IF(selection!H282=1,selection!M282,NA())</f>
        <v/>
      </c>
      <c r="V285">
        <f>IF(selection!H282=1,selection!N282,NA())</f>
        <v/>
      </c>
      <c r="W285">
        <f>IF(selection!H282=0,selection!M282,NA())</f>
        <v/>
      </c>
      <c r="X285">
        <f>IF(selection!H282=0,selection!N282,NA())</f>
        <v/>
      </c>
    </row>
    <row r="286">
      <c r="U286">
        <f>IF(selection!H283=1,selection!M283,NA())</f>
        <v/>
      </c>
      <c r="V286">
        <f>IF(selection!H283=1,selection!N283,NA())</f>
        <v/>
      </c>
      <c r="W286">
        <f>IF(selection!H283=0,selection!M283,NA())</f>
        <v/>
      </c>
      <c r="X286">
        <f>IF(selection!H283=0,selection!N283,NA())</f>
        <v/>
      </c>
    </row>
    <row r="287">
      <c r="U287">
        <f>IF(selection!H284=1,selection!M284,NA())</f>
        <v/>
      </c>
      <c r="V287">
        <f>IF(selection!H284=1,selection!N284,NA())</f>
        <v/>
      </c>
      <c r="W287">
        <f>IF(selection!H284=0,selection!M284,NA())</f>
        <v/>
      </c>
      <c r="X287">
        <f>IF(selection!H284=0,selection!N284,NA())</f>
        <v/>
      </c>
    </row>
    <row r="288">
      <c r="U288">
        <f>IF(selection!H285=1,selection!M285,NA())</f>
        <v/>
      </c>
      <c r="V288">
        <f>IF(selection!H285=1,selection!N285,NA())</f>
        <v/>
      </c>
      <c r="W288">
        <f>IF(selection!H285=0,selection!M285,NA())</f>
        <v/>
      </c>
      <c r="X288">
        <f>IF(selection!H285=0,selection!N285,NA())</f>
        <v/>
      </c>
    </row>
    <row r="289">
      <c r="U289">
        <f>IF(selection!H286=1,selection!M286,NA())</f>
        <v/>
      </c>
      <c r="V289">
        <f>IF(selection!H286=1,selection!N286,NA())</f>
        <v/>
      </c>
      <c r="W289">
        <f>IF(selection!H286=0,selection!M286,NA())</f>
        <v/>
      </c>
      <c r="X289">
        <f>IF(selection!H286=0,selection!N286,NA())</f>
        <v/>
      </c>
    </row>
    <row r="290">
      <c r="U290">
        <f>IF(selection!H287=1,selection!M287,NA())</f>
        <v/>
      </c>
      <c r="V290">
        <f>IF(selection!H287=1,selection!N287,NA())</f>
        <v/>
      </c>
      <c r="W290">
        <f>IF(selection!H287=0,selection!M287,NA())</f>
        <v/>
      </c>
      <c r="X290">
        <f>IF(selection!H287=0,selection!N287,NA())</f>
        <v/>
      </c>
    </row>
    <row r="291">
      <c r="U291">
        <f>IF(selection!H288=1,selection!M288,NA())</f>
        <v/>
      </c>
      <c r="V291">
        <f>IF(selection!H288=1,selection!N288,NA())</f>
        <v/>
      </c>
      <c r="W291">
        <f>IF(selection!H288=0,selection!M288,NA())</f>
        <v/>
      </c>
      <c r="X291">
        <f>IF(selection!H288=0,selection!N288,NA())</f>
        <v/>
      </c>
    </row>
    <row r="292">
      <c r="U292">
        <f>IF(selection!H289=1,selection!M289,NA())</f>
        <v/>
      </c>
      <c r="V292">
        <f>IF(selection!H289=1,selection!N289,NA())</f>
        <v/>
      </c>
      <c r="W292">
        <f>IF(selection!H289=0,selection!M289,NA())</f>
        <v/>
      </c>
      <c r="X292">
        <f>IF(selection!H289=0,selection!N289,NA())</f>
        <v/>
      </c>
    </row>
    <row r="293">
      <c r="U293">
        <f>IF(selection!H290=1,selection!M290,NA())</f>
        <v/>
      </c>
      <c r="V293">
        <f>IF(selection!H290=1,selection!N290,NA())</f>
        <v/>
      </c>
      <c r="W293">
        <f>IF(selection!H290=0,selection!M290,NA())</f>
        <v/>
      </c>
      <c r="X293">
        <f>IF(selection!H290=0,selection!N290,NA())</f>
        <v/>
      </c>
    </row>
    <row r="294">
      <c r="U294">
        <f>IF(selection!H291=1,selection!M291,NA())</f>
        <v/>
      </c>
      <c r="V294">
        <f>IF(selection!H291=1,selection!N291,NA())</f>
        <v/>
      </c>
      <c r="W294">
        <f>IF(selection!H291=0,selection!M291,NA())</f>
        <v/>
      </c>
      <c r="X294">
        <f>IF(selection!H291=0,selection!N291,NA())</f>
        <v/>
      </c>
    </row>
    <row r="295">
      <c r="U295">
        <f>IF(selection!H292=1,selection!M292,NA())</f>
        <v/>
      </c>
      <c r="V295">
        <f>IF(selection!H292=1,selection!N292,NA())</f>
        <v/>
      </c>
      <c r="W295">
        <f>IF(selection!H292=0,selection!M292,NA())</f>
        <v/>
      </c>
      <c r="X295">
        <f>IF(selection!H292=0,selection!N292,NA())</f>
        <v/>
      </c>
    </row>
    <row r="296">
      <c r="U296">
        <f>IF(selection!H293=1,selection!M293,NA())</f>
        <v/>
      </c>
      <c r="V296">
        <f>IF(selection!H293=1,selection!N293,NA())</f>
        <v/>
      </c>
      <c r="W296">
        <f>IF(selection!H293=0,selection!M293,NA())</f>
        <v/>
      </c>
      <c r="X296">
        <f>IF(selection!H293=0,selection!N293,NA())</f>
        <v/>
      </c>
    </row>
    <row r="297">
      <c r="U297">
        <f>IF(selection!H294=1,selection!M294,NA())</f>
        <v/>
      </c>
      <c r="V297">
        <f>IF(selection!H294=1,selection!N294,NA())</f>
        <v/>
      </c>
      <c r="W297">
        <f>IF(selection!H294=0,selection!M294,NA())</f>
        <v/>
      </c>
      <c r="X297">
        <f>IF(selection!H294=0,selection!N294,NA())</f>
        <v/>
      </c>
    </row>
    <row r="298">
      <c r="U298">
        <f>IF(selection!H295=1,selection!M295,NA())</f>
        <v/>
      </c>
      <c r="V298">
        <f>IF(selection!H295=1,selection!N295,NA())</f>
        <v/>
      </c>
      <c r="W298">
        <f>IF(selection!H295=0,selection!M295,NA())</f>
        <v/>
      </c>
      <c r="X298">
        <f>IF(selection!H295=0,selection!N295,NA())</f>
        <v/>
      </c>
    </row>
    <row r="299">
      <c r="U299">
        <f>IF(selection!H296=1,selection!M296,NA())</f>
        <v/>
      </c>
      <c r="V299">
        <f>IF(selection!H296=1,selection!N296,NA())</f>
        <v/>
      </c>
      <c r="W299">
        <f>IF(selection!H296=0,selection!M296,NA())</f>
        <v/>
      </c>
      <c r="X299">
        <f>IF(selection!H296=0,selection!N296,NA())</f>
        <v/>
      </c>
    </row>
    <row r="300">
      <c r="U300">
        <f>IF(selection!H297=1,selection!M297,NA())</f>
        <v/>
      </c>
      <c r="V300">
        <f>IF(selection!H297=1,selection!N297,NA())</f>
        <v/>
      </c>
      <c r="W300">
        <f>IF(selection!H297=0,selection!M297,NA())</f>
        <v/>
      </c>
      <c r="X300">
        <f>IF(selection!H297=0,selection!N297,NA())</f>
        <v/>
      </c>
    </row>
    <row r="301">
      <c r="U301">
        <f>IF(selection!H298=1,selection!M298,NA())</f>
        <v/>
      </c>
      <c r="V301">
        <f>IF(selection!H298=1,selection!N298,NA())</f>
        <v/>
      </c>
      <c r="W301">
        <f>IF(selection!H298=0,selection!M298,NA())</f>
        <v/>
      </c>
      <c r="X301">
        <f>IF(selection!H298=0,selection!N298,NA())</f>
        <v/>
      </c>
    </row>
    <row r="302">
      <c r="U302">
        <f>IF(selection!H299=1,selection!M299,NA())</f>
        <v/>
      </c>
      <c r="V302">
        <f>IF(selection!H299=1,selection!N299,NA())</f>
        <v/>
      </c>
      <c r="W302">
        <f>IF(selection!H299=0,selection!M299,NA())</f>
        <v/>
      </c>
      <c r="X302">
        <f>IF(selection!H299=0,selection!N299,NA())</f>
        <v/>
      </c>
    </row>
    <row r="303">
      <c r="U303">
        <f>IF(selection!H300=1,selection!M300,NA())</f>
        <v/>
      </c>
      <c r="V303">
        <f>IF(selection!H300=1,selection!N300,NA())</f>
        <v/>
      </c>
      <c r="W303">
        <f>IF(selection!H300=0,selection!M300,NA())</f>
        <v/>
      </c>
      <c r="X303">
        <f>IF(selection!H300=0,selection!N300,NA())</f>
        <v/>
      </c>
    </row>
    <row r="304">
      <c r="U304">
        <f>IF(selection!H301=1,selection!M301,NA())</f>
        <v/>
      </c>
      <c r="V304">
        <f>IF(selection!H301=1,selection!N301,NA())</f>
        <v/>
      </c>
      <c r="W304">
        <f>IF(selection!H301=0,selection!M301,NA())</f>
        <v/>
      </c>
      <c r="X304">
        <f>IF(selection!H301=0,selection!N301,NA())</f>
        <v/>
      </c>
    </row>
    <row r="305">
      <c r="U305">
        <f>IF(selection!H302=1,selection!M302,NA())</f>
        <v/>
      </c>
      <c r="V305">
        <f>IF(selection!H302=1,selection!N302,NA())</f>
        <v/>
      </c>
      <c r="W305">
        <f>IF(selection!H302=0,selection!M302,NA())</f>
        <v/>
      </c>
      <c r="X305">
        <f>IF(selection!H302=0,selection!N302,NA())</f>
        <v/>
      </c>
    </row>
    <row r="306">
      <c r="U306">
        <f>IF(selection!H303=1,selection!M303,NA())</f>
        <v/>
      </c>
      <c r="V306">
        <f>IF(selection!H303=1,selection!N303,NA())</f>
        <v/>
      </c>
      <c r="W306">
        <f>IF(selection!H303=0,selection!M303,NA())</f>
        <v/>
      </c>
      <c r="X306">
        <f>IF(selection!H303=0,selection!N303,NA())</f>
        <v/>
      </c>
    </row>
    <row r="307">
      <c r="U307">
        <f>IF(selection!H304=1,selection!M304,NA())</f>
        <v/>
      </c>
      <c r="V307">
        <f>IF(selection!H304=1,selection!N304,NA())</f>
        <v/>
      </c>
      <c r="W307">
        <f>IF(selection!H304=0,selection!M304,NA())</f>
        <v/>
      </c>
      <c r="X307">
        <f>IF(selection!H304=0,selection!N304,NA())</f>
        <v/>
      </c>
    </row>
    <row r="308">
      <c r="U308">
        <f>IF(selection!H305=1,selection!M305,NA())</f>
        <v/>
      </c>
      <c r="V308">
        <f>IF(selection!H305=1,selection!N305,NA())</f>
        <v/>
      </c>
      <c r="W308">
        <f>IF(selection!H305=0,selection!M305,NA())</f>
        <v/>
      </c>
      <c r="X308">
        <f>IF(selection!H305=0,selection!N305,NA())</f>
        <v/>
      </c>
    </row>
    <row r="309">
      <c r="U309">
        <f>IF(selection!H306=1,selection!M306,NA())</f>
        <v/>
      </c>
      <c r="V309">
        <f>IF(selection!H306=1,selection!N306,NA())</f>
        <v/>
      </c>
      <c r="W309">
        <f>IF(selection!H306=0,selection!M306,NA())</f>
        <v/>
      </c>
      <c r="X309">
        <f>IF(selection!H306=0,selection!N306,NA())</f>
        <v/>
      </c>
    </row>
    <row r="310">
      <c r="U310">
        <f>IF(selection!H307=1,selection!M307,NA())</f>
        <v/>
      </c>
      <c r="V310">
        <f>IF(selection!H307=1,selection!N307,NA())</f>
        <v/>
      </c>
      <c r="W310">
        <f>IF(selection!H307=0,selection!M307,NA())</f>
        <v/>
      </c>
      <c r="X310">
        <f>IF(selection!H307=0,selection!N307,NA())</f>
        <v/>
      </c>
    </row>
    <row r="311">
      <c r="U311">
        <f>IF(selection!H308=1,selection!M308,NA())</f>
        <v/>
      </c>
      <c r="V311">
        <f>IF(selection!H308=1,selection!N308,NA())</f>
        <v/>
      </c>
      <c r="W311">
        <f>IF(selection!H308=0,selection!M308,NA())</f>
        <v/>
      </c>
      <c r="X311">
        <f>IF(selection!H308=0,selection!N308,NA())</f>
        <v/>
      </c>
    </row>
    <row r="312">
      <c r="U312">
        <f>IF(selection!H309=1,selection!M309,NA())</f>
        <v/>
      </c>
      <c r="V312">
        <f>IF(selection!H309=1,selection!N309,NA())</f>
        <v/>
      </c>
      <c r="W312">
        <f>IF(selection!H309=0,selection!M309,NA())</f>
        <v/>
      </c>
      <c r="X312">
        <f>IF(selection!H309=0,selection!N309,NA())</f>
        <v/>
      </c>
    </row>
    <row r="313">
      <c r="U313">
        <f>IF(selection!H310=1,selection!M310,NA())</f>
        <v/>
      </c>
      <c r="V313">
        <f>IF(selection!H310=1,selection!N310,NA())</f>
        <v/>
      </c>
      <c r="W313">
        <f>IF(selection!H310=0,selection!M310,NA())</f>
        <v/>
      </c>
      <c r="X313">
        <f>IF(selection!H310=0,selection!N310,NA())</f>
        <v/>
      </c>
    </row>
    <row r="314">
      <c r="U314">
        <f>IF(selection!H311=1,selection!M311,NA())</f>
        <v/>
      </c>
      <c r="V314">
        <f>IF(selection!H311=1,selection!N311,NA())</f>
        <v/>
      </c>
      <c r="W314">
        <f>IF(selection!H311=0,selection!M311,NA())</f>
        <v/>
      </c>
      <c r="X314">
        <f>IF(selection!H311=0,selection!N311,NA())</f>
        <v/>
      </c>
    </row>
    <row r="315">
      <c r="U315">
        <f>IF(selection!H312=1,selection!M312,NA())</f>
        <v/>
      </c>
      <c r="V315">
        <f>IF(selection!H312=1,selection!N312,NA())</f>
        <v/>
      </c>
      <c r="W315">
        <f>IF(selection!H312=0,selection!M312,NA())</f>
        <v/>
      </c>
      <c r="X315">
        <f>IF(selection!H312=0,selection!N312,NA())</f>
        <v/>
      </c>
    </row>
    <row r="316">
      <c r="U316">
        <f>IF(selection!H313=1,selection!M313,NA())</f>
        <v/>
      </c>
      <c r="V316">
        <f>IF(selection!H313=1,selection!N313,NA())</f>
        <v/>
      </c>
      <c r="W316">
        <f>IF(selection!H313=0,selection!M313,NA())</f>
        <v/>
      </c>
      <c r="X316">
        <f>IF(selection!H313=0,selection!N313,NA())</f>
        <v/>
      </c>
    </row>
    <row r="317">
      <c r="U317">
        <f>IF(selection!H314=1,selection!M314,NA())</f>
        <v/>
      </c>
      <c r="V317">
        <f>IF(selection!H314=1,selection!N314,NA())</f>
        <v/>
      </c>
      <c r="W317">
        <f>IF(selection!H314=0,selection!M314,NA())</f>
        <v/>
      </c>
      <c r="X317">
        <f>IF(selection!H314=0,selection!N314,NA())</f>
        <v/>
      </c>
    </row>
    <row r="318">
      <c r="U318">
        <f>IF(selection!H315=1,selection!M315,NA())</f>
        <v/>
      </c>
      <c r="V318">
        <f>IF(selection!H315=1,selection!N315,NA())</f>
        <v/>
      </c>
      <c r="W318">
        <f>IF(selection!H315=0,selection!M315,NA())</f>
        <v/>
      </c>
      <c r="X318">
        <f>IF(selection!H315=0,selection!N315,NA())</f>
        <v/>
      </c>
    </row>
    <row r="319">
      <c r="U319">
        <f>IF(selection!H316=1,selection!M316,NA())</f>
        <v/>
      </c>
      <c r="V319">
        <f>IF(selection!H316=1,selection!N316,NA())</f>
        <v/>
      </c>
      <c r="W319">
        <f>IF(selection!H316=0,selection!M316,NA())</f>
        <v/>
      </c>
      <c r="X319">
        <f>IF(selection!H316=0,selection!N316,NA())</f>
        <v/>
      </c>
    </row>
    <row r="320">
      <c r="U320">
        <f>IF(selection!H317=1,selection!M317,NA())</f>
        <v/>
      </c>
      <c r="V320">
        <f>IF(selection!H317=1,selection!N317,NA())</f>
        <v/>
      </c>
      <c r="W320">
        <f>IF(selection!H317=0,selection!M317,NA())</f>
        <v/>
      </c>
      <c r="X320">
        <f>IF(selection!H317=0,selection!N317,NA())</f>
        <v/>
      </c>
    </row>
    <row r="321">
      <c r="U321">
        <f>IF(selection!H318=1,selection!M318,NA())</f>
        <v/>
      </c>
      <c r="V321">
        <f>IF(selection!H318=1,selection!N318,NA())</f>
        <v/>
      </c>
      <c r="W321">
        <f>IF(selection!H318=0,selection!M318,NA())</f>
        <v/>
      </c>
      <c r="X321">
        <f>IF(selection!H318=0,selection!N318,NA())</f>
        <v/>
      </c>
    </row>
    <row r="322">
      <c r="U322">
        <f>IF(selection!H319=1,selection!M319,NA())</f>
        <v/>
      </c>
      <c r="V322">
        <f>IF(selection!H319=1,selection!N319,NA())</f>
        <v/>
      </c>
      <c r="W322">
        <f>IF(selection!H319=0,selection!M319,NA())</f>
        <v/>
      </c>
      <c r="X322">
        <f>IF(selection!H319=0,selection!N319,NA())</f>
        <v/>
      </c>
    </row>
    <row r="323">
      <c r="U323">
        <f>IF(selection!H320=1,selection!M320,NA())</f>
        <v/>
      </c>
      <c r="V323">
        <f>IF(selection!H320=1,selection!N320,NA())</f>
        <v/>
      </c>
      <c r="W323">
        <f>IF(selection!H320=0,selection!M320,NA())</f>
        <v/>
      </c>
      <c r="X323">
        <f>IF(selection!H320=0,selection!N320,NA())</f>
        <v/>
      </c>
    </row>
    <row r="324">
      <c r="U324">
        <f>IF(selection!H321=1,selection!M321,NA())</f>
        <v/>
      </c>
      <c r="V324">
        <f>IF(selection!H321=1,selection!N321,NA())</f>
        <v/>
      </c>
      <c r="W324">
        <f>IF(selection!H321=0,selection!M321,NA())</f>
        <v/>
      </c>
      <c r="X324">
        <f>IF(selection!H321=0,selection!N321,NA())</f>
        <v/>
      </c>
    </row>
    <row r="325">
      <c r="U325">
        <f>IF(selection!H322=1,selection!M322,NA())</f>
        <v/>
      </c>
      <c r="V325">
        <f>IF(selection!H322=1,selection!N322,NA())</f>
        <v/>
      </c>
      <c r="W325">
        <f>IF(selection!H322=0,selection!M322,NA())</f>
        <v/>
      </c>
      <c r="X325">
        <f>IF(selection!H322=0,selection!N322,NA())</f>
        <v/>
      </c>
    </row>
    <row r="326">
      <c r="U326">
        <f>IF(selection!H323=1,selection!M323,NA())</f>
        <v/>
      </c>
      <c r="V326">
        <f>IF(selection!H323=1,selection!N323,NA())</f>
        <v/>
      </c>
      <c r="W326">
        <f>IF(selection!H323=0,selection!M323,NA())</f>
        <v/>
      </c>
      <c r="X326">
        <f>IF(selection!H323=0,selection!N323,NA())</f>
        <v/>
      </c>
    </row>
    <row r="327">
      <c r="U327">
        <f>IF(selection!H324=1,selection!M324,NA())</f>
        <v/>
      </c>
      <c r="V327">
        <f>IF(selection!H324=1,selection!N324,NA())</f>
        <v/>
      </c>
      <c r="W327">
        <f>IF(selection!H324=0,selection!M324,NA())</f>
        <v/>
      </c>
      <c r="X327">
        <f>IF(selection!H324=0,selection!N324,NA())</f>
        <v/>
      </c>
    </row>
    <row r="328">
      <c r="U328">
        <f>IF(selection!H325=1,selection!M325,NA())</f>
        <v/>
      </c>
      <c r="V328">
        <f>IF(selection!H325=1,selection!N325,NA())</f>
        <v/>
      </c>
      <c r="W328">
        <f>IF(selection!H325=0,selection!M325,NA())</f>
        <v/>
      </c>
      <c r="X328">
        <f>IF(selection!H325=0,selection!N325,NA())</f>
        <v/>
      </c>
    </row>
    <row r="329">
      <c r="U329">
        <f>IF(selection!H326=1,selection!M326,NA())</f>
        <v/>
      </c>
      <c r="V329">
        <f>IF(selection!H326=1,selection!N326,NA())</f>
        <v/>
      </c>
      <c r="W329">
        <f>IF(selection!H326=0,selection!M326,NA())</f>
        <v/>
      </c>
      <c r="X329">
        <f>IF(selection!H326=0,selection!N326,NA())</f>
        <v/>
      </c>
    </row>
    <row r="330">
      <c r="U330">
        <f>IF(selection!H327=1,selection!M327,NA())</f>
        <v/>
      </c>
      <c r="V330">
        <f>IF(selection!H327=1,selection!N327,NA())</f>
        <v/>
      </c>
      <c r="W330">
        <f>IF(selection!H327=0,selection!M327,NA())</f>
        <v/>
      </c>
      <c r="X330">
        <f>IF(selection!H327=0,selection!N327,NA())</f>
        <v/>
      </c>
    </row>
    <row r="331">
      <c r="U331">
        <f>IF(selection!H328=1,selection!M328,NA())</f>
        <v/>
      </c>
      <c r="V331">
        <f>IF(selection!H328=1,selection!N328,NA())</f>
        <v/>
      </c>
      <c r="W331">
        <f>IF(selection!H328=0,selection!M328,NA())</f>
        <v/>
      </c>
      <c r="X331">
        <f>IF(selection!H328=0,selection!N328,NA())</f>
        <v/>
      </c>
    </row>
    <row r="332">
      <c r="U332">
        <f>IF(selection!H329=1,selection!M329,NA())</f>
        <v/>
      </c>
      <c r="V332">
        <f>IF(selection!H329=1,selection!N329,NA())</f>
        <v/>
      </c>
      <c r="W332">
        <f>IF(selection!H329=0,selection!M329,NA())</f>
        <v/>
      </c>
      <c r="X332">
        <f>IF(selection!H329=0,selection!N329,NA())</f>
        <v/>
      </c>
    </row>
    <row r="333">
      <c r="U333">
        <f>IF(selection!H330=1,selection!M330,NA())</f>
        <v/>
      </c>
      <c r="V333">
        <f>IF(selection!H330=1,selection!N330,NA())</f>
        <v/>
      </c>
      <c r="W333">
        <f>IF(selection!H330=0,selection!M330,NA())</f>
        <v/>
      </c>
      <c r="X333">
        <f>IF(selection!H330=0,selection!N330,NA())</f>
        <v/>
      </c>
    </row>
    <row r="334">
      <c r="U334">
        <f>IF(selection!H331=1,selection!M331,NA())</f>
        <v/>
      </c>
      <c r="V334">
        <f>IF(selection!H331=1,selection!N331,NA())</f>
        <v/>
      </c>
      <c r="W334">
        <f>IF(selection!H331=0,selection!M331,NA())</f>
        <v/>
      </c>
      <c r="X334">
        <f>IF(selection!H331=0,selection!N331,NA())</f>
        <v/>
      </c>
    </row>
    <row r="335">
      <c r="U335">
        <f>IF(selection!H332=1,selection!M332,NA())</f>
        <v/>
      </c>
      <c r="V335">
        <f>IF(selection!H332=1,selection!N332,NA())</f>
        <v/>
      </c>
      <c r="W335">
        <f>IF(selection!H332=0,selection!M332,NA())</f>
        <v/>
      </c>
      <c r="X335">
        <f>IF(selection!H332=0,selection!N332,NA())</f>
        <v/>
      </c>
    </row>
    <row r="336">
      <c r="U336">
        <f>IF(selection!H333=1,selection!M333,NA())</f>
        <v/>
      </c>
      <c r="V336">
        <f>IF(selection!H333=1,selection!N333,NA())</f>
        <v/>
      </c>
      <c r="W336">
        <f>IF(selection!H333=0,selection!M333,NA())</f>
        <v/>
      </c>
      <c r="X336">
        <f>IF(selection!H333=0,selection!N333,NA())</f>
        <v/>
      </c>
    </row>
    <row r="337">
      <c r="U337">
        <f>IF(selection!H334=1,selection!M334,NA())</f>
        <v/>
      </c>
      <c r="V337">
        <f>IF(selection!H334=1,selection!N334,NA())</f>
        <v/>
      </c>
      <c r="W337">
        <f>IF(selection!H334=0,selection!M334,NA())</f>
        <v/>
      </c>
      <c r="X337">
        <f>IF(selection!H334=0,selection!N334,NA())</f>
        <v/>
      </c>
    </row>
    <row r="338">
      <c r="U338">
        <f>IF(selection!H335=1,selection!M335,NA())</f>
        <v/>
      </c>
      <c r="V338">
        <f>IF(selection!H335=1,selection!N335,NA())</f>
        <v/>
      </c>
      <c r="W338">
        <f>IF(selection!H335=0,selection!M335,NA())</f>
        <v/>
      </c>
      <c r="X338">
        <f>IF(selection!H335=0,selection!N335,NA())</f>
        <v/>
      </c>
    </row>
    <row r="339">
      <c r="U339">
        <f>IF(selection!H336=1,selection!M336,NA())</f>
        <v/>
      </c>
      <c r="V339">
        <f>IF(selection!H336=1,selection!N336,NA())</f>
        <v/>
      </c>
      <c r="W339">
        <f>IF(selection!H336=0,selection!M336,NA())</f>
        <v/>
      </c>
      <c r="X339">
        <f>IF(selection!H336=0,selection!N336,NA())</f>
        <v/>
      </c>
    </row>
    <row r="340">
      <c r="U340">
        <f>IF(selection!H337=1,selection!M337,NA())</f>
        <v/>
      </c>
      <c r="V340">
        <f>IF(selection!H337=1,selection!N337,NA())</f>
        <v/>
      </c>
      <c r="W340">
        <f>IF(selection!H337=0,selection!M337,NA())</f>
        <v/>
      </c>
      <c r="X340">
        <f>IF(selection!H337=0,selection!N337,NA())</f>
        <v/>
      </c>
    </row>
    <row r="341">
      <c r="U341">
        <f>IF(selection!H338=1,selection!M338,NA())</f>
        <v/>
      </c>
      <c r="V341">
        <f>IF(selection!H338=1,selection!N338,NA())</f>
        <v/>
      </c>
      <c r="W341">
        <f>IF(selection!H338=0,selection!M338,NA())</f>
        <v/>
      </c>
      <c r="X341">
        <f>IF(selection!H338=0,selection!N338,NA())</f>
        <v/>
      </c>
    </row>
    <row r="342">
      <c r="U342">
        <f>IF(selection!H339=1,selection!M339,NA())</f>
        <v/>
      </c>
      <c r="V342">
        <f>IF(selection!H339=1,selection!N339,NA())</f>
        <v/>
      </c>
      <c r="W342">
        <f>IF(selection!H339=0,selection!M339,NA())</f>
        <v/>
      </c>
      <c r="X342">
        <f>IF(selection!H339=0,selection!N339,NA())</f>
        <v/>
      </c>
    </row>
    <row r="343">
      <c r="U343">
        <f>IF(selection!H340=1,selection!M340,NA())</f>
        <v/>
      </c>
      <c r="V343">
        <f>IF(selection!H340=1,selection!N340,NA())</f>
        <v/>
      </c>
      <c r="W343">
        <f>IF(selection!H340=0,selection!M340,NA())</f>
        <v/>
      </c>
      <c r="X343">
        <f>IF(selection!H340=0,selection!N340,NA())</f>
        <v/>
      </c>
    </row>
    <row r="344">
      <c r="U344">
        <f>IF(selection!H341=1,selection!M341,NA())</f>
        <v/>
      </c>
      <c r="V344">
        <f>IF(selection!H341=1,selection!N341,NA())</f>
        <v/>
      </c>
      <c r="W344">
        <f>IF(selection!H341=0,selection!M341,NA())</f>
        <v/>
      </c>
      <c r="X344">
        <f>IF(selection!H341=0,selection!N341,NA())</f>
        <v/>
      </c>
    </row>
    <row r="345">
      <c r="U345">
        <f>IF(selection!H342=1,selection!M342,NA())</f>
        <v/>
      </c>
      <c r="V345">
        <f>IF(selection!H342=1,selection!N342,NA())</f>
        <v/>
      </c>
      <c r="W345">
        <f>IF(selection!H342=0,selection!M342,NA())</f>
        <v/>
      </c>
      <c r="X345">
        <f>IF(selection!H342=0,selection!N342,NA())</f>
        <v/>
      </c>
    </row>
    <row r="346">
      <c r="U346">
        <f>IF(selection!H343=1,selection!M343,NA())</f>
        <v/>
      </c>
      <c r="V346">
        <f>IF(selection!H343=1,selection!N343,NA())</f>
        <v/>
      </c>
      <c r="W346">
        <f>IF(selection!H343=0,selection!M343,NA())</f>
        <v/>
      </c>
      <c r="X346">
        <f>IF(selection!H343=0,selection!N343,NA())</f>
        <v/>
      </c>
    </row>
    <row r="347">
      <c r="U347">
        <f>IF(selection!H344=1,selection!M344,NA())</f>
        <v/>
      </c>
      <c r="V347">
        <f>IF(selection!H344=1,selection!N344,NA())</f>
        <v/>
      </c>
      <c r="W347">
        <f>IF(selection!H344=0,selection!M344,NA())</f>
        <v/>
      </c>
      <c r="X347">
        <f>IF(selection!H344=0,selection!N344,NA())</f>
        <v/>
      </c>
    </row>
    <row r="348">
      <c r="U348">
        <f>IF(selection!H345=1,selection!M345,NA())</f>
        <v/>
      </c>
      <c r="V348">
        <f>IF(selection!H345=1,selection!N345,NA())</f>
        <v/>
      </c>
      <c r="W348">
        <f>IF(selection!H345=0,selection!M345,NA())</f>
        <v/>
      </c>
      <c r="X348">
        <f>IF(selection!H345=0,selection!N345,NA())</f>
        <v/>
      </c>
    </row>
    <row r="349">
      <c r="U349">
        <f>IF(selection!H346=1,selection!M346,NA())</f>
        <v/>
      </c>
      <c r="V349">
        <f>IF(selection!H346=1,selection!N346,NA())</f>
        <v/>
      </c>
      <c r="W349">
        <f>IF(selection!H346=0,selection!M346,NA())</f>
        <v/>
      </c>
      <c r="X349">
        <f>IF(selection!H346=0,selection!N346,NA())</f>
        <v/>
      </c>
    </row>
    <row r="350">
      <c r="U350">
        <f>IF(selection!H347=1,selection!M347,NA())</f>
        <v/>
      </c>
      <c r="V350">
        <f>IF(selection!H347=1,selection!N347,NA())</f>
        <v/>
      </c>
      <c r="W350">
        <f>IF(selection!H347=0,selection!M347,NA())</f>
        <v/>
      </c>
      <c r="X350">
        <f>IF(selection!H347=0,selection!N347,NA())</f>
        <v/>
      </c>
    </row>
    <row r="351">
      <c r="U351">
        <f>IF(selection!H348=1,selection!M348,NA())</f>
        <v/>
      </c>
      <c r="V351">
        <f>IF(selection!H348=1,selection!N348,NA())</f>
        <v/>
      </c>
      <c r="W351">
        <f>IF(selection!H348=0,selection!M348,NA())</f>
        <v/>
      </c>
      <c r="X351">
        <f>IF(selection!H348=0,selection!N348,NA())</f>
        <v/>
      </c>
    </row>
    <row r="352">
      <c r="U352">
        <f>IF(selection!H349=1,selection!M349,NA())</f>
        <v/>
      </c>
      <c r="V352">
        <f>IF(selection!H349=1,selection!N349,NA())</f>
        <v/>
      </c>
      <c r="W352">
        <f>IF(selection!H349=0,selection!M349,NA())</f>
        <v/>
      </c>
      <c r="X352">
        <f>IF(selection!H349=0,selection!N349,NA())</f>
        <v/>
      </c>
    </row>
    <row r="353">
      <c r="U353">
        <f>IF(selection!H350=1,selection!M350,NA())</f>
        <v/>
      </c>
      <c r="V353">
        <f>IF(selection!H350=1,selection!N350,NA())</f>
        <v/>
      </c>
      <c r="W353">
        <f>IF(selection!H350=0,selection!M350,NA())</f>
        <v/>
      </c>
      <c r="X353">
        <f>IF(selection!H350=0,selection!N350,NA())</f>
        <v/>
      </c>
    </row>
    <row r="354">
      <c r="U354">
        <f>IF(selection!H351=1,selection!M351,NA())</f>
        <v/>
      </c>
      <c r="V354">
        <f>IF(selection!H351=1,selection!N351,NA())</f>
        <v/>
      </c>
      <c r="W354">
        <f>IF(selection!H351=0,selection!M351,NA())</f>
        <v/>
      </c>
      <c r="X354">
        <f>IF(selection!H351=0,selection!N351,NA())</f>
        <v/>
      </c>
    </row>
    <row r="355">
      <c r="U355">
        <f>IF(selection!H352=1,selection!M352,NA())</f>
        <v/>
      </c>
      <c r="V355">
        <f>IF(selection!H352=1,selection!N352,NA())</f>
        <v/>
      </c>
      <c r="W355">
        <f>IF(selection!H352=0,selection!M352,NA())</f>
        <v/>
      </c>
      <c r="X355">
        <f>IF(selection!H352=0,selection!N352,NA())</f>
        <v/>
      </c>
    </row>
    <row r="356">
      <c r="U356">
        <f>IF(selection!H353=1,selection!M353,NA())</f>
        <v/>
      </c>
      <c r="V356">
        <f>IF(selection!H353=1,selection!N353,NA())</f>
        <v/>
      </c>
      <c r="W356">
        <f>IF(selection!H353=0,selection!M353,NA())</f>
        <v/>
      </c>
      <c r="X356">
        <f>IF(selection!H353=0,selection!N353,NA())</f>
        <v/>
      </c>
    </row>
    <row r="357">
      <c r="U357">
        <f>IF(selection!H354=1,selection!M354,NA())</f>
        <v/>
      </c>
      <c r="V357">
        <f>IF(selection!H354=1,selection!N354,NA())</f>
        <v/>
      </c>
      <c r="W357">
        <f>IF(selection!H354=0,selection!M354,NA())</f>
        <v/>
      </c>
      <c r="X357">
        <f>IF(selection!H354=0,selection!N354,NA())</f>
        <v/>
      </c>
    </row>
    <row r="358">
      <c r="U358">
        <f>IF(selection!H355=1,selection!M355,NA())</f>
        <v/>
      </c>
      <c r="V358">
        <f>IF(selection!H355=1,selection!N355,NA())</f>
        <v/>
      </c>
      <c r="W358">
        <f>IF(selection!H355=0,selection!M355,NA())</f>
        <v/>
      </c>
      <c r="X358">
        <f>IF(selection!H355=0,selection!N355,NA())</f>
        <v/>
      </c>
    </row>
    <row r="359">
      <c r="U359">
        <f>IF(selection!H356=1,selection!M356,NA())</f>
        <v/>
      </c>
      <c r="V359">
        <f>IF(selection!H356=1,selection!N356,NA())</f>
        <v/>
      </c>
      <c r="W359">
        <f>IF(selection!H356=0,selection!M356,NA())</f>
        <v/>
      </c>
      <c r="X359">
        <f>IF(selection!H356=0,selection!N356,NA())</f>
        <v/>
      </c>
    </row>
    <row r="360">
      <c r="U360">
        <f>IF(selection!H357=1,selection!M357,NA())</f>
        <v/>
      </c>
      <c r="V360">
        <f>IF(selection!H357=1,selection!N357,NA())</f>
        <v/>
      </c>
      <c r="W360">
        <f>IF(selection!H357=0,selection!M357,NA())</f>
        <v/>
      </c>
      <c r="X360">
        <f>IF(selection!H357=0,selection!N357,NA())</f>
        <v/>
      </c>
    </row>
    <row r="361">
      <c r="U361">
        <f>IF(selection!H358=1,selection!M358,NA())</f>
        <v/>
      </c>
      <c r="V361">
        <f>IF(selection!H358=1,selection!N358,NA())</f>
        <v/>
      </c>
      <c r="W361">
        <f>IF(selection!H358=0,selection!M358,NA())</f>
        <v/>
      </c>
      <c r="X361">
        <f>IF(selection!H358=0,selection!N358,NA())</f>
        <v/>
      </c>
    </row>
    <row r="362">
      <c r="U362">
        <f>IF(selection!H359=1,selection!M359,NA())</f>
        <v/>
      </c>
      <c r="V362">
        <f>IF(selection!H359=1,selection!N359,NA())</f>
        <v/>
      </c>
      <c r="W362">
        <f>IF(selection!H359=0,selection!M359,NA())</f>
        <v/>
      </c>
      <c r="X362">
        <f>IF(selection!H359=0,selection!N359,NA())</f>
        <v/>
      </c>
    </row>
    <row r="363">
      <c r="U363">
        <f>IF(selection!H360=1,selection!M360,NA())</f>
        <v/>
      </c>
      <c r="V363">
        <f>IF(selection!H360=1,selection!N360,NA())</f>
        <v/>
      </c>
      <c r="W363">
        <f>IF(selection!H360=0,selection!M360,NA())</f>
        <v/>
      </c>
      <c r="X363">
        <f>IF(selection!H360=0,selection!N360,NA())</f>
        <v/>
      </c>
    </row>
    <row r="364">
      <c r="U364">
        <f>IF(selection!H361=1,selection!M361,NA())</f>
        <v/>
      </c>
      <c r="V364">
        <f>IF(selection!H361=1,selection!N361,NA())</f>
        <v/>
      </c>
      <c r="W364">
        <f>IF(selection!H361=0,selection!M361,NA())</f>
        <v/>
      </c>
      <c r="X364">
        <f>IF(selection!H361=0,selection!N361,NA())</f>
        <v/>
      </c>
    </row>
    <row r="365">
      <c r="U365">
        <f>IF(selection!H362=1,selection!M362,NA())</f>
        <v/>
      </c>
      <c r="V365">
        <f>IF(selection!H362=1,selection!N362,NA())</f>
        <v/>
      </c>
      <c r="W365">
        <f>IF(selection!H362=0,selection!M362,NA())</f>
        <v/>
      </c>
      <c r="X365">
        <f>IF(selection!H362=0,selection!N362,NA())</f>
        <v/>
      </c>
    </row>
    <row r="366">
      <c r="U366">
        <f>IF(selection!H363=1,selection!M363,NA())</f>
        <v/>
      </c>
      <c r="V366">
        <f>IF(selection!H363=1,selection!N363,NA())</f>
        <v/>
      </c>
      <c r="W366">
        <f>IF(selection!H363=0,selection!M363,NA())</f>
        <v/>
      </c>
      <c r="X366">
        <f>IF(selection!H363=0,selection!N363,NA())</f>
        <v/>
      </c>
    </row>
    <row r="367">
      <c r="U367">
        <f>IF(selection!H364=1,selection!M364,NA())</f>
        <v/>
      </c>
      <c r="V367">
        <f>IF(selection!H364=1,selection!N364,NA())</f>
        <v/>
      </c>
      <c r="W367">
        <f>IF(selection!H364=0,selection!M364,NA())</f>
        <v/>
      </c>
      <c r="X367">
        <f>IF(selection!H364=0,selection!N364,NA())</f>
        <v/>
      </c>
    </row>
    <row r="368">
      <c r="U368">
        <f>IF(selection!H365=1,selection!M365,NA())</f>
        <v/>
      </c>
      <c r="V368">
        <f>IF(selection!H365=1,selection!N365,NA())</f>
        <v/>
      </c>
      <c r="W368">
        <f>IF(selection!H365=0,selection!M365,NA())</f>
        <v/>
      </c>
      <c r="X368">
        <f>IF(selection!H365=0,selection!N365,NA())</f>
        <v/>
      </c>
    </row>
    <row r="369">
      <c r="U369">
        <f>IF(selection!H366=1,selection!M366,NA())</f>
        <v/>
      </c>
      <c r="V369">
        <f>IF(selection!H366=1,selection!N366,NA())</f>
        <v/>
      </c>
      <c r="W369">
        <f>IF(selection!H366=0,selection!M366,NA())</f>
        <v/>
      </c>
      <c r="X369">
        <f>IF(selection!H366=0,selection!N366,NA())</f>
        <v/>
      </c>
    </row>
    <row r="370">
      <c r="U370">
        <f>IF(selection!H367=1,selection!M367,NA())</f>
        <v/>
      </c>
      <c r="V370">
        <f>IF(selection!H367=1,selection!N367,NA())</f>
        <v/>
      </c>
      <c r="W370">
        <f>IF(selection!H367=0,selection!M367,NA())</f>
        <v/>
      </c>
      <c r="X370">
        <f>IF(selection!H367=0,selection!N367,NA())</f>
        <v/>
      </c>
    </row>
    <row r="371">
      <c r="U371">
        <f>IF(selection!H368=1,selection!M368,NA())</f>
        <v/>
      </c>
      <c r="V371">
        <f>IF(selection!H368=1,selection!N368,NA())</f>
        <v/>
      </c>
      <c r="W371">
        <f>IF(selection!H368=0,selection!M368,NA())</f>
        <v/>
      </c>
      <c r="X371">
        <f>IF(selection!H368=0,selection!N368,NA())</f>
        <v/>
      </c>
    </row>
    <row r="372">
      <c r="U372">
        <f>IF(selection!H369=1,selection!M369,NA())</f>
        <v/>
      </c>
      <c r="V372">
        <f>IF(selection!H369=1,selection!N369,NA())</f>
        <v/>
      </c>
      <c r="W372">
        <f>IF(selection!H369=0,selection!M369,NA())</f>
        <v/>
      </c>
      <c r="X372">
        <f>IF(selection!H369=0,selection!N369,NA())</f>
        <v/>
      </c>
    </row>
    <row r="373">
      <c r="U373">
        <f>IF(selection!H370=1,selection!M370,NA())</f>
        <v/>
      </c>
      <c r="V373">
        <f>IF(selection!H370=1,selection!N370,NA())</f>
        <v/>
      </c>
      <c r="W373">
        <f>IF(selection!H370=0,selection!M370,NA())</f>
        <v/>
      </c>
      <c r="X373">
        <f>IF(selection!H370=0,selection!N370,NA())</f>
        <v/>
      </c>
    </row>
    <row r="374">
      <c r="U374">
        <f>IF(selection!H371=1,selection!M371,NA())</f>
        <v/>
      </c>
      <c r="V374">
        <f>IF(selection!H371=1,selection!N371,NA())</f>
        <v/>
      </c>
      <c r="W374">
        <f>IF(selection!H371=0,selection!M371,NA())</f>
        <v/>
      </c>
      <c r="X374">
        <f>IF(selection!H371=0,selection!N371,NA())</f>
        <v/>
      </c>
    </row>
    <row r="375">
      <c r="U375">
        <f>IF(selection!H372=1,selection!M372,NA())</f>
        <v/>
      </c>
      <c r="V375">
        <f>IF(selection!H372=1,selection!N372,NA())</f>
        <v/>
      </c>
      <c r="W375">
        <f>IF(selection!H372=0,selection!M372,NA())</f>
        <v/>
      </c>
      <c r="X375">
        <f>IF(selection!H372=0,selection!N372,NA())</f>
        <v/>
      </c>
    </row>
    <row r="376">
      <c r="U376">
        <f>IF(selection!H373=1,selection!M373,NA())</f>
        <v/>
      </c>
      <c r="V376">
        <f>IF(selection!H373=1,selection!N373,NA())</f>
        <v/>
      </c>
      <c r="W376">
        <f>IF(selection!H373=0,selection!M373,NA())</f>
        <v/>
      </c>
      <c r="X376">
        <f>IF(selection!H373=0,selection!N373,NA())</f>
        <v/>
      </c>
    </row>
    <row r="377">
      <c r="U377">
        <f>IF(selection!H374=1,selection!M374,NA())</f>
        <v/>
      </c>
      <c r="V377">
        <f>IF(selection!H374=1,selection!N374,NA())</f>
        <v/>
      </c>
      <c r="W377">
        <f>IF(selection!H374=0,selection!M374,NA())</f>
        <v/>
      </c>
      <c r="X377">
        <f>IF(selection!H374=0,selection!N374,NA())</f>
        <v/>
      </c>
    </row>
    <row r="378">
      <c r="U378">
        <f>IF(selection!H375=1,selection!M375,NA())</f>
        <v/>
      </c>
      <c r="V378">
        <f>IF(selection!H375=1,selection!N375,NA())</f>
        <v/>
      </c>
      <c r="W378">
        <f>IF(selection!H375=0,selection!M375,NA())</f>
        <v/>
      </c>
      <c r="X378">
        <f>IF(selection!H375=0,selection!N375,NA())</f>
        <v/>
      </c>
    </row>
    <row r="379">
      <c r="U379">
        <f>IF(selection!H376=1,selection!M376,NA())</f>
        <v/>
      </c>
      <c r="V379">
        <f>IF(selection!H376=1,selection!N376,NA())</f>
        <v/>
      </c>
      <c r="W379">
        <f>IF(selection!H376=0,selection!M376,NA())</f>
        <v/>
      </c>
      <c r="X379">
        <f>IF(selection!H376=0,selection!N376,NA())</f>
        <v/>
      </c>
    </row>
    <row r="380">
      <c r="U380">
        <f>IF(selection!H377=1,selection!M377,NA())</f>
        <v/>
      </c>
      <c r="V380">
        <f>IF(selection!H377=1,selection!N377,NA())</f>
        <v/>
      </c>
      <c r="W380">
        <f>IF(selection!H377=0,selection!M377,NA())</f>
        <v/>
      </c>
      <c r="X380">
        <f>IF(selection!H377=0,selection!N377,NA())</f>
        <v/>
      </c>
    </row>
    <row r="381">
      <c r="U381">
        <f>IF(selection!H378=1,selection!M378,NA())</f>
        <v/>
      </c>
      <c r="V381">
        <f>IF(selection!H378=1,selection!N378,NA())</f>
        <v/>
      </c>
      <c r="W381">
        <f>IF(selection!H378=0,selection!M378,NA())</f>
        <v/>
      </c>
      <c r="X381">
        <f>IF(selection!H378=0,selection!N378,NA())</f>
        <v/>
      </c>
    </row>
    <row r="382">
      <c r="U382">
        <f>IF(selection!H379=1,selection!M379,NA())</f>
        <v/>
      </c>
      <c r="V382">
        <f>IF(selection!H379=1,selection!N379,NA())</f>
        <v/>
      </c>
      <c r="W382">
        <f>IF(selection!H379=0,selection!M379,NA())</f>
        <v/>
      </c>
      <c r="X382">
        <f>IF(selection!H379=0,selection!N379,NA())</f>
        <v/>
      </c>
    </row>
    <row r="383">
      <c r="U383">
        <f>IF(selection!H380=1,selection!M380,NA())</f>
        <v/>
      </c>
      <c r="V383">
        <f>IF(selection!H380=1,selection!N380,NA())</f>
        <v/>
      </c>
      <c r="W383">
        <f>IF(selection!H380=0,selection!M380,NA())</f>
        <v/>
      </c>
      <c r="X383">
        <f>IF(selection!H380=0,selection!N380,NA())</f>
        <v/>
      </c>
    </row>
    <row r="384">
      <c r="U384">
        <f>IF(selection!H381=1,selection!M381,NA())</f>
        <v/>
      </c>
      <c r="V384">
        <f>IF(selection!H381=1,selection!N381,NA())</f>
        <v/>
      </c>
      <c r="W384">
        <f>IF(selection!H381=0,selection!M381,NA())</f>
        <v/>
      </c>
      <c r="X384">
        <f>IF(selection!H381=0,selection!N381,NA())</f>
        <v/>
      </c>
    </row>
    <row r="385">
      <c r="U385">
        <f>IF(selection!H382=1,selection!M382,NA())</f>
        <v/>
      </c>
      <c r="V385">
        <f>IF(selection!H382=1,selection!N382,NA())</f>
        <v/>
      </c>
      <c r="W385">
        <f>IF(selection!H382=0,selection!M382,NA())</f>
        <v/>
      </c>
      <c r="X385">
        <f>IF(selection!H382=0,selection!N382,NA())</f>
        <v/>
      </c>
    </row>
    <row r="386">
      <c r="U386">
        <f>IF(selection!H383=1,selection!M383,NA())</f>
        <v/>
      </c>
      <c r="V386">
        <f>IF(selection!H383=1,selection!N383,NA())</f>
        <v/>
      </c>
      <c r="W386">
        <f>IF(selection!H383=0,selection!M383,NA())</f>
        <v/>
      </c>
      <c r="X386">
        <f>IF(selection!H383=0,selection!N383,NA())</f>
        <v/>
      </c>
    </row>
    <row r="387">
      <c r="U387">
        <f>IF(selection!H384=1,selection!M384,NA())</f>
        <v/>
      </c>
      <c r="V387">
        <f>IF(selection!H384=1,selection!N384,NA())</f>
        <v/>
      </c>
      <c r="W387">
        <f>IF(selection!H384=0,selection!M384,NA())</f>
        <v/>
      </c>
      <c r="X387">
        <f>IF(selection!H384=0,selection!N384,NA())</f>
        <v/>
      </c>
    </row>
    <row r="388">
      <c r="U388">
        <f>IF(selection!H385=1,selection!M385,NA())</f>
        <v/>
      </c>
      <c r="V388">
        <f>IF(selection!H385=1,selection!N385,NA())</f>
        <v/>
      </c>
      <c r="W388">
        <f>IF(selection!H385=0,selection!M385,NA())</f>
        <v/>
      </c>
      <c r="X388">
        <f>IF(selection!H385=0,selection!N385,NA())</f>
        <v/>
      </c>
    </row>
    <row r="389">
      <c r="U389">
        <f>IF(selection!H386=1,selection!M386,NA())</f>
        <v/>
      </c>
      <c r="V389">
        <f>IF(selection!H386=1,selection!N386,NA())</f>
        <v/>
      </c>
      <c r="W389">
        <f>IF(selection!H386=0,selection!M386,NA())</f>
        <v/>
      </c>
      <c r="X389">
        <f>IF(selection!H386=0,selection!N386,NA())</f>
        <v/>
      </c>
    </row>
    <row r="390">
      <c r="U390">
        <f>IF(selection!H387=1,selection!M387,NA())</f>
        <v/>
      </c>
      <c r="V390">
        <f>IF(selection!H387=1,selection!N387,NA())</f>
        <v/>
      </c>
      <c r="W390">
        <f>IF(selection!H387=0,selection!M387,NA())</f>
        <v/>
      </c>
      <c r="X390">
        <f>IF(selection!H387=0,selection!N387,NA())</f>
        <v/>
      </c>
    </row>
    <row r="391">
      <c r="U391">
        <f>IF(selection!H388=1,selection!M388,NA())</f>
        <v/>
      </c>
      <c r="V391">
        <f>IF(selection!H388=1,selection!N388,NA())</f>
        <v/>
      </c>
      <c r="W391">
        <f>IF(selection!H388=0,selection!M388,NA())</f>
        <v/>
      </c>
      <c r="X391">
        <f>IF(selection!H388=0,selection!N388,NA())</f>
        <v/>
      </c>
    </row>
    <row r="392">
      <c r="U392">
        <f>IF(selection!H389=1,selection!M389,NA())</f>
        <v/>
      </c>
      <c r="V392">
        <f>IF(selection!H389=1,selection!N389,NA())</f>
        <v/>
      </c>
      <c r="W392">
        <f>IF(selection!H389=0,selection!M389,NA())</f>
        <v/>
      </c>
      <c r="X392">
        <f>IF(selection!H389=0,selection!N389,NA())</f>
        <v/>
      </c>
    </row>
    <row r="393">
      <c r="U393">
        <f>IF(selection!H390=1,selection!M390,NA())</f>
        <v/>
      </c>
      <c r="V393">
        <f>IF(selection!H390=1,selection!N390,NA())</f>
        <v/>
      </c>
      <c r="W393">
        <f>IF(selection!H390=0,selection!M390,NA())</f>
        <v/>
      </c>
      <c r="X393">
        <f>IF(selection!H390=0,selection!N390,NA())</f>
        <v/>
      </c>
    </row>
    <row r="394">
      <c r="U394">
        <f>IF(selection!H391=1,selection!M391,NA())</f>
        <v/>
      </c>
      <c r="V394">
        <f>IF(selection!H391=1,selection!N391,NA())</f>
        <v/>
      </c>
      <c r="W394">
        <f>IF(selection!H391=0,selection!M391,NA())</f>
        <v/>
      </c>
      <c r="X394">
        <f>IF(selection!H391=0,selection!N391,NA())</f>
        <v/>
      </c>
    </row>
    <row r="395">
      <c r="U395">
        <f>IF(selection!H392=1,selection!M392,NA())</f>
        <v/>
      </c>
      <c r="V395">
        <f>IF(selection!H392=1,selection!N392,NA())</f>
        <v/>
      </c>
      <c r="W395">
        <f>IF(selection!H392=0,selection!M392,NA())</f>
        <v/>
      </c>
      <c r="X395">
        <f>IF(selection!H392=0,selection!N392,NA())</f>
        <v/>
      </c>
    </row>
    <row r="396">
      <c r="U396">
        <f>IF(selection!H393=1,selection!M393,NA())</f>
        <v/>
      </c>
      <c r="V396">
        <f>IF(selection!H393=1,selection!N393,NA())</f>
        <v/>
      </c>
      <c r="W396">
        <f>IF(selection!H393=0,selection!M393,NA())</f>
        <v/>
      </c>
      <c r="X396">
        <f>IF(selection!H393=0,selection!N393,NA())</f>
        <v/>
      </c>
    </row>
    <row r="397">
      <c r="U397">
        <f>IF(selection!H394=1,selection!M394,NA())</f>
        <v/>
      </c>
      <c r="V397">
        <f>IF(selection!H394=1,selection!N394,NA())</f>
        <v/>
      </c>
      <c r="W397">
        <f>IF(selection!H394=0,selection!M394,NA())</f>
        <v/>
      </c>
      <c r="X397">
        <f>IF(selection!H394=0,selection!N394,NA())</f>
        <v/>
      </c>
    </row>
    <row r="398">
      <c r="U398">
        <f>IF(selection!H395=1,selection!M395,NA())</f>
        <v/>
      </c>
      <c r="V398">
        <f>IF(selection!H395=1,selection!N395,NA())</f>
        <v/>
      </c>
      <c r="W398">
        <f>IF(selection!H395=0,selection!M395,NA())</f>
        <v/>
      </c>
      <c r="X398">
        <f>IF(selection!H395=0,selection!N395,NA())</f>
        <v/>
      </c>
    </row>
    <row r="399">
      <c r="U399">
        <f>IF(selection!H396=1,selection!M396,NA())</f>
        <v/>
      </c>
      <c r="V399">
        <f>IF(selection!H396=1,selection!N396,NA())</f>
        <v/>
      </c>
      <c r="W399">
        <f>IF(selection!H396=0,selection!M396,NA())</f>
        <v/>
      </c>
      <c r="X399">
        <f>IF(selection!H396=0,selection!N396,NA())</f>
        <v/>
      </c>
    </row>
    <row r="400">
      <c r="U400">
        <f>IF(selection!H397=1,selection!M397,NA())</f>
        <v/>
      </c>
      <c r="V400">
        <f>IF(selection!H397=1,selection!N397,NA())</f>
        <v/>
      </c>
      <c r="W400">
        <f>IF(selection!H397=0,selection!M397,NA())</f>
        <v/>
      </c>
      <c r="X400">
        <f>IF(selection!H397=0,selection!N397,NA())</f>
        <v/>
      </c>
    </row>
    <row r="401">
      <c r="U401">
        <f>IF(selection!H398=1,selection!M398,NA())</f>
        <v/>
      </c>
      <c r="V401">
        <f>IF(selection!H398=1,selection!N398,NA())</f>
        <v/>
      </c>
      <c r="W401">
        <f>IF(selection!H398=0,selection!M398,NA())</f>
        <v/>
      </c>
      <c r="X401">
        <f>IF(selection!H398=0,selection!N398,NA())</f>
        <v/>
      </c>
    </row>
    <row r="402">
      <c r="U402">
        <f>IF(selection!H399=1,selection!M399,NA())</f>
        <v/>
      </c>
      <c r="V402">
        <f>IF(selection!H399=1,selection!N399,NA())</f>
        <v/>
      </c>
      <c r="W402">
        <f>IF(selection!H399=0,selection!M399,NA())</f>
        <v/>
      </c>
      <c r="X402">
        <f>IF(selection!H399=0,selection!N399,NA())</f>
        <v/>
      </c>
    </row>
    <row r="403">
      <c r="U403">
        <f>IF(selection!H400=1,selection!M400,NA())</f>
        <v/>
      </c>
      <c r="V403">
        <f>IF(selection!H400=1,selection!N400,NA())</f>
        <v/>
      </c>
      <c r="W403">
        <f>IF(selection!H400=0,selection!M400,NA())</f>
        <v/>
      </c>
      <c r="X403">
        <f>IF(selection!H400=0,selection!N400,NA())</f>
        <v/>
      </c>
    </row>
    <row r="404">
      <c r="U404">
        <f>IF(selection!H401=1,selection!M401,NA())</f>
        <v/>
      </c>
      <c r="V404">
        <f>IF(selection!H401=1,selection!N401,NA())</f>
        <v/>
      </c>
      <c r="W404">
        <f>IF(selection!H401=0,selection!M401,NA())</f>
        <v/>
      </c>
      <c r="X404">
        <f>IF(selection!H401=0,selection!N401,NA())</f>
        <v/>
      </c>
    </row>
    <row r="405">
      <c r="U405">
        <f>IF(selection!H402=1,selection!M402,NA())</f>
        <v/>
      </c>
      <c r="V405">
        <f>IF(selection!H402=1,selection!N402,NA())</f>
        <v/>
      </c>
      <c r="W405">
        <f>IF(selection!H402=0,selection!M402,NA())</f>
        <v/>
      </c>
      <c r="X405">
        <f>IF(selection!H402=0,selection!N402,NA())</f>
        <v/>
      </c>
    </row>
    <row r="406">
      <c r="U406">
        <f>IF(selection!H403=1,selection!M403,NA())</f>
        <v/>
      </c>
      <c r="V406">
        <f>IF(selection!H403=1,selection!N403,NA())</f>
        <v/>
      </c>
      <c r="W406">
        <f>IF(selection!H403=0,selection!M403,NA())</f>
        <v/>
      </c>
      <c r="X406">
        <f>IF(selection!H403=0,selection!N403,NA())</f>
        <v/>
      </c>
    </row>
    <row r="407">
      <c r="U407">
        <f>IF(selection!H404=1,selection!M404,NA())</f>
        <v/>
      </c>
      <c r="V407">
        <f>IF(selection!H404=1,selection!N404,NA())</f>
        <v/>
      </c>
      <c r="W407">
        <f>IF(selection!H404=0,selection!M404,NA())</f>
        <v/>
      </c>
      <c r="X407">
        <f>IF(selection!H404=0,selection!N404,NA())</f>
        <v/>
      </c>
    </row>
    <row r="408">
      <c r="U408">
        <f>IF(selection!H405=1,selection!M405,NA())</f>
        <v/>
      </c>
      <c r="V408">
        <f>IF(selection!H405=1,selection!N405,NA())</f>
        <v/>
      </c>
      <c r="W408">
        <f>IF(selection!H405=0,selection!M405,NA())</f>
        <v/>
      </c>
      <c r="X408">
        <f>IF(selection!H405=0,selection!N405,NA())</f>
        <v/>
      </c>
    </row>
    <row r="409">
      <c r="U409">
        <f>IF(selection!H406=1,selection!M406,NA())</f>
        <v/>
      </c>
      <c r="V409">
        <f>IF(selection!H406=1,selection!N406,NA())</f>
        <v/>
      </c>
      <c r="W409">
        <f>IF(selection!H406=0,selection!M406,NA())</f>
        <v/>
      </c>
      <c r="X409">
        <f>IF(selection!H406=0,selection!N406,NA())</f>
        <v/>
      </c>
    </row>
    <row r="410">
      <c r="U410">
        <f>IF(selection!H407=1,selection!M407,NA())</f>
        <v/>
      </c>
      <c r="V410">
        <f>IF(selection!H407=1,selection!N407,NA())</f>
        <v/>
      </c>
      <c r="W410">
        <f>IF(selection!H407=0,selection!M407,NA())</f>
        <v/>
      </c>
      <c r="X410">
        <f>IF(selection!H407=0,selection!N407,NA())</f>
        <v/>
      </c>
    </row>
    <row r="411">
      <c r="U411">
        <f>IF(selection!H408=1,selection!M408,NA())</f>
        <v/>
      </c>
      <c r="V411">
        <f>IF(selection!H408=1,selection!N408,NA())</f>
        <v/>
      </c>
      <c r="W411">
        <f>IF(selection!H408=0,selection!M408,NA())</f>
        <v/>
      </c>
      <c r="X411">
        <f>IF(selection!H408=0,selection!N408,NA())</f>
        <v/>
      </c>
    </row>
    <row r="412">
      <c r="U412">
        <f>IF(selection!H409=1,selection!M409,NA())</f>
        <v/>
      </c>
      <c r="V412">
        <f>IF(selection!H409=1,selection!N409,NA())</f>
        <v/>
      </c>
      <c r="W412">
        <f>IF(selection!H409=0,selection!M409,NA())</f>
        <v/>
      </c>
      <c r="X412">
        <f>IF(selection!H409=0,selection!N409,NA())</f>
        <v/>
      </c>
    </row>
    <row r="413">
      <c r="U413">
        <f>IF(selection!H410=1,selection!M410,NA())</f>
        <v/>
      </c>
      <c r="V413">
        <f>IF(selection!H410=1,selection!N410,NA())</f>
        <v/>
      </c>
      <c r="W413">
        <f>IF(selection!H410=0,selection!M410,NA())</f>
        <v/>
      </c>
      <c r="X413">
        <f>IF(selection!H410=0,selection!N410,NA())</f>
        <v/>
      </c>
    </row>
    <row r="414">
      <c r="U414">
        <f>IF(selection!H411=1,selection!M411,NA())</f>
        <v/>
      </c>
      <c r="V414">
        <f>IF(selection!H411=1,selection!N411,NA())</f>
        <v/>
      </c>
      <c r="W414">
        <f>IF(selection!H411=0,selection!M411,NA())</f>
        <v/>
      </c>
      <c r="X414">
        <f>IF(selection!H411=0,selection!N411,NA())</f>
        <v/>
      </c>
    </row>
    <row r="415">
      <c r="U415">
        <f>IF(selection!H412=1,selection!M412,NA())</f>
        <v/>
      </c>
      <c r="V415">
        <f>IF(selection!H412=1,selection!N412,NA())</f>
        <v/>
      </c>
      <c r="W415">
        <f>IF(selection!H412=0,selection!M412,NA())</f>
        <v/>
      </c>
      <c r="X415">
        <f>IF(selection!H412=0,selection!N412,NA())</f>
        <v/>
      </c>
    </row>
    <row r="416">
      <c r="U416">
        <f>IF(selection!H413=1,selection!M413,NA())</f>
        <v/>
      </c>
      <c r="V416">
        <f>IF(selection!H413=1,selection!N413,NA())</f>
        <v/>
      </c>
      <c r="W416">
        <f>IF(selection!H413=0,selection!M413,NA())</f>
        <v/>
      </c>
      <c r="X416">
        <f>IF(selection!H413=0,selection!N413,NA())</f>
        <v/>
      </c>
    </row>
    <row r="417">
      <c r="U417">
        <f>IF(selection!H414=1,selection!M414,NA())</f>
        <v/>
      </c>
      <c r="V417">
        <f>IF(selection!H414=1,selection!N414,NA())</f>
        <v/>
      </c>
      <c r="W417">
        <f>IF(selection!H414=0,selection!M414,NA())</f>
        <v/>
      </c>
      <c r="X417">
        <f>IF(selection!H414=0,selection!N414,NA())</f>
        <v/>
      </c>
    </row>
    <row r="418">
      <c r="U418">
        <f>IF(selection!H415=1,selection!M415,NA())</f>
        <v/>
      </c>
      <c r="V418">
        <f>IF(selection!H415=1,selection!N415,NA())</f>
        <v/>
      </c>
      <c r="W418">
        <f>IF(selection!H415=0,selection!M415,NA())</f>
        <v/>
      </c>
      <c r="X418">
        <f>IF(selection!H415=0,selection!N415,NA())</f>
        <v/>
      </c>
    </row>
    <row r="419">
      <c r="U419">
        <f>IF(selection!H416=1,selection!M416,NA())</f>
        <v/>
      </c>
      <c r="V419">
        <f>IF(selection!H416=1,selection!N416,NA())</f>
        <v/>
      </c>
      <c r="W419">
        <f>IF(selection!H416=0,selection!M416,NA())</f>
        <v/>
      </c>
      <c r="X419">
        <f>IF(selection!H416=0,selection!N416,NA())</f>
        <v/>
      </c>
    </row>
    <row r="420">
      <c r="U420">
        <f>IF(selection!H417=1,selection!M417,NA())</f>
        <v/>
      </c>
      <c r="V420">
        <f>IF(selection!H417=1,selection!N417,NA())</f>
        <v/>
      </c>
      <c r="W420">
        <f>IF(selection!H417=0,selection!M417,NA())</f>
        <v/>
      </c>
      <c r="X420">
        <f>IF(selection!H417=0,selection!N417,NA())</f>
        <v/>
      </c>
    </row>
    <row r="421">
      <c r="U421">
        <f>IF(selection!H418=1,selection!M418,NA())</f>
        <v/>
      </c>
      <c r="V421">
        <f>IF(selection!H418=1,selection!N418,NA())</f>
        <v/>
      </c>
      <c r="W421">
        <f>IF(selection!H418=0,selection!M418,NA())</f>
        <v/>
      </c>
      <c r="X421">
        <f>IF(selection!H418=0,selection!N418,NA())</f>
        <v/>
      </c>
    </row>
    <row r="422">
      <c r="U422">
        <f>IF(selection!H419=1,selection!M419,NA())</f>
        <v/>
      </c>
      <c r="V422">
        <f>IF(selection!H419=1,selection!N419,NA())</f>
        <v/>
      </c>
      <c r="W422">
        <f>IF(selection!H419=0,selection!M419,NA())</f>
        <v/>
      </c>
      <c r="X422">
        <f>IF(selection!H419=0,selection!N419,NA())</f>
        <v/>
      </c>
    </row>
    <row r="423">
      <c r="U423">
        <f>IF(selection!H420=1,selection!M420,NA())</f>
        <v/>
      </c>
      <c r="V423">
        <f>IF(selection!H420=1,selection!N420,NA())</f>
        <v/>
      </c>
      <c r="W423">
        <f>IF(selection!H420=0,selection!M420,NA())</f>
        <v/>
      </c>
      <c r="X423">
        <f>IF(selection!H420=0,selection!N420,NA())</f>
        <v/>
      </c>
    </row>
    <row r="424">
      <c r="U424">
        <f>IF(selection!H421=1,selection!M421,NA())</f>
        <v/>
      </c>
      <c r="V424">
        <f>IF(selection!H421=1,selection!N421,NA())</f>
        <v/>
      </c>
      <c r="W424">
        <f>IF(selection!H421=0,selection!M421,NA())</f>
        <v/>
      </c>
      <c r="X424">
        <f>IF(selection!H421=0,selection!N421,NA())</f>
        <v/>
      </c>
    </row>
    <row r="425">
      <c r="U425">
        <f>IF(selection!H422=1,selection!M422,NA())</f>
        <v/>
      </c>
      <c r="V425">
        <f>IF(selection!H422=1,selection!N422,NA())</f>
        <v/>
      </c>
      <c r="W425">
        <f>IF(selection!H422=0,selection!M422,NA())</f>
        <v/>
      </c>
      <c r="X425">
        <f>IF(selection!H422=0,selection!N422,NA())</f>
        <v/>
      </c>
    </row>
    <row r="426">
      <c r="U426">
        <f>IF(selection!H423=1,selection!M423,NA())</f>
        <v/>
      </c>
      <c r="V426">
        <f>IF(selection!H423=1,selection!N423,NA())</f>
        <v/>
      </c>
      <c r="W426">
        <f>IF(selection!H423=0,selection!M423,NA())</f>
        <v/>
      </c>
      <c r="X426">
        <f>IF(selection!H423=0,selection!N423,NA())</f>
        <v/>
      </c>
    </row>
    <row r="427">
      <c r="U427">
        <f>IF(selection!H424=1,selection!M424,NA())</f>
        <v/>
      </c>
      <c r="V427">
        <f>IF(selection!H424=1,selection!N424,NA())</f>
        <v/>
      </c>
      <c r="W427">
        <f>IF(selection!H424=0,selection!M424,NA())</f>
        <v/>
      </c>
      <c r="X427">
        <f>IF(selection!H424=0,selection!N424,NA())</f>
        <v/>
      </c>
    </row>
    <row r="428">
      <c r="U428">
        <f>IF(selection!H425=1,selection!M425,NA())</f>
        <v/>
      </c>
      <c r="V428">
        <f>IF(selection!H425=1,selection!N425,NA())</f>
        <v/>
      </c>
      <c r="W428">
        <f>IF(selection!H425=0,selection!M425,NA())</f>
        <v/>
      </c>
      <c r="X428">
        <f>IF(selection!H425=0,selection!N425,NA())</f>
        <v/>
      </c>
    </row>
    <row r="429">
      <c r="U429">
        <f>IF(selection!H426=1,selection!M426,NA())</f>
        <v/>
      </c>
      <c r="V429">
        <f>IF(selection!H426=1,selection!N426,NA())</f>
        <v/>
      </c>
      <c r="W429">
        <f>IF(selection!H426=0,selection!M426,NA())</f>
        <v/>
      </c>
      <c r="X429">
        <f>IF(selection!H426=0,selection!N426,NA())</f>
        <v/>
      </c>
    </row>
    <row r="430">
      <c r="U430">
        <f>IF(selection!H427=1,selection!M427,NA())</f>
        <v/>
      </c>
      <c r="V430">
        <f>IF(selection!H427=1,selection!N427,NA())</f>
        <v/>
      </c>
      <c r="W430">
        <f>IF(selection!H427=0,selection!M427,NA())</f>
        <v/>
      </c>
      <c r="X430">
        <f>IF(selection!H427=0,selection!N427,NA())</f>
        <v/>
      </c>
    </row>
    <row r="431">
      <c r="U431">
        <f>IF(selection!H428=1,selection!M428,NA())</f>
        <v/>
      </c>
      <c r="V431">
        <f>IF(selection!H428=1,selection!N428,NA())</f>
        <v/>
      </c>
      <c r="W431">
        <f>IF(selection!H428=0,selection!M428,NA())</f>
        <v/>
      </c>
      <c r="X431">
        <f>IF(selection!H428=0,selection!N428,NA())</f>
        <v/>
      </c>
    </row>
    <row r="432">
      <c r="U432">
        <f>IF(selection!H429=1,selection!M429,NA())</f>
        <v/>
      </c>
      <c r="V432">
        <f>IF(selection!H429=1,selection!N429,NA())</f>
        <v/>
      </c>
      <c r="W432">
        <f>IF(selection!H429=0,selection!M429,NA())</f>
        <v/>
      </c>
      <c r="X432">
        <f>IF(selection!H429=0,selection!N429,NA())</f>
        <v/>
      </c>
    </row>
    <row r="433">
      <c r="U433">
        <f>IF(selection!H430=1,selection!M430,NA())</f>
        <v/>
      </c>
      <c r="V433">
        <f>IF(selection!H430=1,selection!N430,NA())</f>
        <v/>
      </c>
      <c r="W433">
        <f>IF(selection!H430=0,selection!M430,NA())</f>
        <v/>
      </c>
      <c r="X433">
        <f>IF(selection!H430=0,selection!N430,NA())</f>
        <v/>
      </c>
    </row>
    <row r="434">
      <c r="U434">
        <f>IF(selection!H431=1,selection!M431,NA())</f>
        <v/>
      </c>
      <c r="V434">
        <f>IF(selection!H431=1,selection!N431,NA())</f>
        <v/>
      </c>
      <c r="W434">
        <f>IF(selection!H431=0,selection!M431,NA())</f>
        <v/>
      </c>
      <c r="X434">
        <f>IF(selection!H431=0,selection!N431,NA())</f>
        <v/>
      </c>
    </row>
    <row r="435">
      <c r="U435">
        <f>IF(selection!H432=1,selection!M432,NA())</f>
        <v/>
      </c>
      <c r="V435">
        <f>IF(selection!H432=1,selection!N432,NA())</f>
        <v/>
      </c>
      <c r="W435">
        <f>IF(selection!H432=0,selection!M432,NA())</f>
        <v/>
      </c>
      <c r="X435">
        <f>IF(selection!H432=0,selection!N432,NA())</f>
        <v/>
      </c>
    </row>
    <row r="436">
      <c r="U436">
        <f>IF(selection!H433=1,selection!M433,NA())</f>
        <v/>
      </c>
      <c r="V436">
        <f>IF(selection!H433=1,selection!N433,NA())</f>
        <v/>
      </c>
      <c r="W436">
        <f>IF(selection!H433=0,selection!M433,NA())</f>
        <v/>
      </c>
      <c r="X436">
        <f>IF(selection!H433=0,selection!N433,NA())</f>
        <v/>
      </c>
    </row>
    <row r="437">
      <c r="U437">
        <f>IF(selection!H434=1,selection!M434,NA())</f>
        <v/>
      </c>
      <c r="V437">
        <f>IF(selection!H434=1,selection!N434,NA())</f>
        <v/>
      </c>
      <c r="W437">
        <f>IF(selection!H434=0,selection!M434,NA())</f>
        <v/>
      </c>
      <c r="X437">
        <f>IF(selection!H434=0,selection!N434,NA())</f>
        <v/>
      </c>
    </row>
    <row r="438">
      <c r="U438">
        <f>IF(selection!H435=1,selection!M435,NA())</f>
        <v/>
      </c>
      <c r="V438">
        <f>IF(selection!H435=1,selection!N435,NA())</f>
        <v/>
      </c>
      <c r="W438">
        <f>IF(selection!H435=0,selection!M435,NA())</f>
        <v/>
      </c>
      <c r="X438">
        <f>IF(selection!H435=0,selection!N435,NA())</f>
        <v/>
      </c>
    </row>
    <row r="439">
      <c r="U439">
        <f>IF(selection!H436=1,selection!M436,NA())</f>
        <v/>
      </c>
      <c r="V439">
        <f>IF(selection!H436=1,selection!N436,NA())</f>
        <v/>
      </c>
      <c r="W439">
        <f>IF(selection!H436=0,selection!M436,NA())</f>
        <v/>
      </c>
      <c r="X439">
        <f>IF(selection!H436=0,selection!N436,NA())</f>
        <v/>
      </c>
    </row>
    <row r="440">
      <c r="U440">
        <f>IF(selection!H437=1,selection!M437,NA())</f>
        <v/>
      </c>
      <c r="V440">
        <f>IF(selection!H437=1,selection!N437,NA())</f>
        <v/>
      </c>
      <c r="W440">
        <f>IF(selection!H437=0,selection!M437,NA())</f>
        <v/>
      </c>
      <c r="X440">
        <f>IF(selection!H437=0,selection!N437,NA())</f>
        <v/>
      </c>
    </row>
    <row r="441">
      <c r="U441">
        <f>IF(selection!H438=1,selection!M438,NA())</f>
        <v/>
      </c>
      <c r="V441">
        <f>IF(selection!H438=1,selection!N438,NA())</f>
        <v/>
      </c>
      <c r="W441">
        <f>IF(selection!H438=0,selection!M438,NA())</f>
        <v/>
      </c>
      <c r="X441">
        <f>IF(selection!H438=0,selection!N438,NA())</f>
        <v/>
      </c>
    </row>
    <row r="442">
      <c r="U442">
        <f>IF(selection!H439=1,selection!M439,NA())</f>
        <v/>
      </c>
      <c r="V442">
        <f>IF(selection!H439=1,selection!N439,NA())</f>
        <v/>
      </c>
      <c r="W442">
        <f>IF(selection!H439=0,selection!M439,NA())</f>
        <v/>
      </c>
      <c r="X442">
        <f>IF(selection!H439=0,selection!N439,NA())</f>
        <v/>
      </c>
    </row>
    <row r="443">
      <c r="U443">
        <f>IF(selection!H440=1,selection!M440,NA())</f>
        <v/>
      </c>
      <c r="V443">
        <f>IF(selection!H440=1,selection!N440,NA())</f>
        <v/>
      </c>
      <c r="W443">
        <f>IF(selection!H440=0,selection!M440,NA())</f>
        <v/>
      </c>
      <c r="X443">
        <f>IF(selection!H440=0,selection!N440,NA())</f>
        <v/>
      </c>
    </row>
    <row r="444">
      <c r="U444">
        <f>IF(selection!H441=1,selection!M441,NA())</f>
        <v/>
      </c>
      <c r="V444">
        <f>IF(selection!H441=1,selection!N441,NA())</f>
        <v/>
      </c>
      <c r="W444">
        <f>IF(selection!H441=0,selection!M441,NA())</f>
        <v/>
      </c>
      <c r="X444">
        <f>IF(selection!H441=0,selection!N441,NA())</f>
        <v/>
      </c>
    </row>
    <row r="445">
      <c r="U445">
        <f>IF(selection!H442=1,selection!M442,NA())</f>
        <v/>
      </c>
      <c r="V445">
        <f>IF(selection!H442=1,selection!N442,NA())</f>
        <v/>
      </c>
      <c r="W445">
        <f>IF(selection!H442=0,selection!M442,NA())</f>
        <v/>
      </c>
      <c r="X445">
        <f>IF(selection!H442=0,selection!N442,NA())</f>
        <v/>
      </c>
    </row>
    <row r="446">
      <c r="U446">
        <f>IF(selection!H443=1,selection!M443,NA())</f>
        <v/>
      </c>
      <c r="V446">
        <f>IF(selection!H443=1,selection!N443,NA())</f>
        <v/>
      </c>
      <c r="W446">
        <f>IF(selection!H443=0,selection!M443,NA())</f>
        <v/>
      </c>
      <c r="X446">
        <f>IF(selection!H443=0,selection!N443,NA())</f>
        <v/>
      </c>
    </row>
    <row r="447">
      <c r="U447">
        <f>IF(selection!H444=1,selection!M444,NA())</f>
        <v/>
      </c>
      <c r="V447">
        <f>IF(selection!H444=1,selection!N444,NA())</f>
        <v/>
      </c>
      <c r="W447">
        <f>IF(selection!H444=0,selection!M444,NA())</f>
        <v/>
      </c>
      <c r="X447">
        <f>IF(selection!H444=0,selection!N444,NA())</f>
        <v/>
      </c>
    </row>
    <row r="448">
      <c r="U448">
        <f>IF(selection!H445=1,selection!M445,NA())</f>
        <v/>
      </c>
      <c r="V448">
        <f>IF(selection!H445=1,selection!N445,NA())</f>
        <v/>
      </c>
      <c r="W448">
        <f>IF(selection!H445=0,selection!M445,NA())</f>
        <v/>
      </c>
      <c r="X448">
        <f>IF(selection!H445=0,selection!N445,NA())</f>
        <v/>
      </c>
    </row>
    <row r="449">
      <c r="U449">
        <f>IF(selection!H446=1,selection!M446,NA())</f>
        <v/>
      </c>
      <c r="V449">
        <f>IF(selection!H446=1,selection!N446,NA())</f>
        <v/>
      </c>
      <c r="W449">
        <f>IF(selection!H446=0,selection!M446,NA())</f>
        <v/>
      </c>
      <c r="X449">
        <f>IF(selection!H446=0,selection!N446,NA())</f>
        <v/>
      </c>
    </row>
    <row r="450">
      <c r="U450">
        <f>IF(selection!H447=1,selection!M447,NA())</f>
        <v/>
      </c>
      <c r="V450">
        <f>IF(selection!H447=1,selection!N447,NA())</f>
        <v/>
      </c>
      <c r="W450">
        <f>IF(selection!H447=0,selection!M447,NA())</f>
        <v/>
      </c>
      <c r="X450">
        <f>IF(selection!H447=0,selection!N447,NA())</f>
        <v/>
      </c>
    </row>
    <row r="451">
      <c r="U451">
        <f>IF(selection!H448=1,selection!M448,NA())</f>
        <v/>
      </c>
      <c r="V451">
        <f>IF(selection!H448=1,selection!N448,NA())</f>
        <v/>
      </c>
      <c r="W451">
        <f>IF(selection!H448=0,selection!M448,NA())</f>
        <v/>
      </c>
      <c r="X451">
        <f>IF(selection!H448=0,selection!N448,NA())</f>
        <v/>
      </c>
    </row>
    <row r="452">
      <c r="U452">
        <f>IF(selection!H449=1,selection!M449,NA())</f>
        <v/>
      </c>
      <c r="V452">
        <f>IF(selection!H449=1,selection!N449,NA())</f>
        <v/>
      </c>
      <c r="W452">
        <f>IF(selection!H449=0,selection!M449,NA())</f>
        <v/>
      </c>
      <c r="X452">
        <f>IF(selection!H449=0,selection!N449,NA())</f>
        <v/>
      </c>
    </row>
    <row r="453">
      <c r="U453">
        <f>IF(selection!H450=1,selection!M450,NA())</f>
        <v/>
      </c>
      <c r="V453">
        <f>IF(selection!H450=1,selection!N450,NA())</f>
        <v/>
      </c>
      <c r="W453">
        <f>IF(selection!H450=0,selection!M450,NA())</f>
        <v/>
      </c>
      <c r="X453">
        <f>IF(selection!H450=0,selection!N450,NA())</f>
        <v/>
      </c>
    </row>
    <row r="454">
      <c r="U454">
        <f>IF(selection!H451=1,selection!M451,NA())</f>
        <v/>
      </c>
      <c r="V454">
        <f>IF(selection!H451=1,selection!N451,NA())</f>
        <v/>
      </c>
      <c r="W454">
        <f>IF(selection!H451=0,selection!M451,NA())</f>
        <v/>
      </c>
      <c r="X454">
        <f>IF(selection!H451=0,selection!N451,NA())</f>
        <v/>
      </c>
    </row>
    <row r="455">
      <c r="U455">
        <f>IF(selection!H452=1,selection!M452,NA())</f>
        <v/>
      </c>
      <c r="V455">
        <f>IF(selection!H452=1,selection!N452,NA())</f>
        <v/>
      </c>
      <c r="W455">
        <f>IF(selection!H452=0,selection!M452,NA())</f>
        <v/>
      </c>
      <c r="X455">
        <f>IF(selection!H452=0,selection!N452,NA())</f>
        <v/>
      </c>
    </row>
    <row r="456">
      <c r="U456">
        <f>IF(selection!H453=1,selection!M453,NA())</f>
        <v/>
      </c>
      <c r="V456">
        <f>IF(selection!H453=1,selection!N453,NA())</f>
        <v/>
      </c>
      <c r="W456">
        <f>IF(selection!H453=0,selection!M453,NA())</f>
        <v/>
      </c>
      <c r="X456">
        <f>IF(selection!H453=0,selection!N453,NA())</f>
        <v/>
      </c>
    </row>
    <row r="457">
      <c r="U457">
        <f>IF(selection!H454=1,selection!M454,NA())</f>
        <v/>
      </c>
      <c r="V457">
        <f>IF(selection!H454=1,selection!N454,NA())</f>
        <v/>
      </c>
      <c r="W457">
        <f>IF(selection!H454=0,selection!M454,NA())</f>
        <v/>
      </c>
      <c r="X457">
        <f>IF(selection!H454=0,selection!N454,NA())</f>
        <v/>
      </c>
    </row>
    <row r="458">
      <c r="U458">
        <f>IF(selection!H455=1,selection!M455,NA())</f>
        <v/>
      </c>
      <c r="V458">
        <f>IF(selection!H455=1,selection!N455,NA())</f>
        <v/>
      </c>
      <c r="W458">
        <f>IF(selection!H455=0,selection!M455,NA())</f>
        <v/>
      </c>
      <c r="X458">
        <f>IF(selection!H455=0,selection!N455,NA())</f>
        <v/>
      </c>
    </row>
    <row r="459">
      <c r="U459">
        <f>IF(selection!H456=1,selection!M456,NA())</f>
        <v/>
      </c>
      <c r="V459">
        <f>IF(selection!H456=1,selection!N456,NA())</f>
        <v/>
      </c>
      <c r="W459">
        <f>IF(selection!H456=0,selection!M456,NA())</f>
        <v/>
      </c>
      <c r="X459">
        <f>IF(selection!H456=0,selection!N456,NA())</f>
        <v/>
      </c>
    </row>
    <row r="460">
      <c r="U460">
        <f>IF(selection!H457=1,selection!M457,NA())</f>
        <v/>
      </c>
      <c r="V460">
        <f>IF(selection!H457=1,selection!N457,NA())</f>
        <v/>
      </c>
      <c r="W460">
        <f>IF(selection!H457=0,selection!M457,NA())</f>
        <v/>
      </c>
      <c r="X460">
        <f>IF(selection!H457=0,selection!N457,NA())</f>
        <v/>
      </c>
    </row>
    <row r="461">
      <c r="U461">
        <f>IF(selection!H458=1,selection!M458,NA())</f>
        <v/>
      </c>
      <c r="V461">
        <f>IF(selection!H458=1,selection!N458,NA())</f>
        <v/>
      </c>
      <c r="W461">
        <f>IF(selection!H458=0,selection!M458,NA())</f>
        <v/>
      </c>
      <c r="X461">
        <f>IF(selection!H458=0,selection!N458,NA())</f>
        <v/>
      </c>
    </row>
    <row r="462">
      <c r="U462">
        <f>IF(selection!H459=1,selection!M459,NA())</f>
        <v/>
      </c>
      <c r="V462">
        <f>IF(selection!H459=1,selection!N459,NA())</f>
        <v/>
      </c>
      <c r="W462">
        <f>IF(selection!H459=0,selection!M459,NA())</f>
        <v/>
      </c>
      <c r="X462">
        <f>IF(selection!H459=0,selection!N459,NA())</f>
        <v/>
      </c>
    </row>
    <row r="463">
      <c r="U463">
        <f>IF(selection!H460=1,selection!M460,NA())</f>
        <v/>
      </c>
      <c r="V463">
        <f>IF(selection!H460=1,selection!N460,NA())</f>
        <v/>
      </c>
      <c r="W463">
        <f>IF(selection!H460=0,selection!M460,NA())</f>
        <v/>
      </c>
      <c r="X463">
        <f>IF(selection!H460=0,selection!N460,NA())</f>
        <v/>
      </c>
    </row>
    <row r="464">
      <c r="U464">
        <f>IF(selection!H461=1,selection!M461,NA())</f>
        <v/>
      </c>
      <c r="V464">
        <f>IF(selection!H461=1,selection!N461,NA())</f>
        <v/>
      </c>
      <c r="W464">
        <f>IF(selection!H461=0,selection!M461,NA())</f>
        <v/>
      </c>
      <c r="X464">
        <f>IF(selection!H461=0,selection!N461,NA())</f>
        <v/>
      </c>
    </row>
    <row r="465">
      <c r="U465">
        <f>IF(selection!H462=1,selection!M462,NA())</f>
        <v/>
      </c>
      <c r="V465">
        <f>IF(selection!H462=1,selection!N462,NA())</f>
        <v/>
      </c>
      <c r="W465">
        <f>IF(selection!H462=0,selection!M462,NA())</f>
        <v/>
      </c>
      <c r="X465">
        <f>IF(selection!H462=0,selection!N462,NA())</f>
        <v/>
      </c>
    </row>
    <row r="466">
      <c r="U466">
        <f>IF(selection!H463=1,selection!M463,NA())</f>
        <v/>
      </c>
      <c r="V466">
        <f>IF(selection!H463=1,selection!N463,NA())</f>
        <v/>
      </c>
      <c r="W466">
        <f>IF(selection!H463=0,selection!M463,NA())</f>
        <v/>
      </c>
      <c r="X466">
        <f>IF(selection!H463=0,selection!N463,NA())</f>
        <v/>
      </c>
    </row>
    <row r="467">
      <c r="U467">
        <f>IF(selection!H464=1,selection!M464,NA())</f>
        <v/>
      </c>
      <c r="V467">
        <f>IF(selection!H464=1,selection!N464,NA())</f>
        <v/>
      </c>
      <c r="W467">
        <f>IF(selection!H464=0,selection!M464,NA())</f>
        <v/>
      </c>
      <c r="X467">
        <f>IF(selection!H464=0,selection!N464,NA())</f>
        <v/>
      </c>
    </row>
    <row r="468">
      <c r="U468">
        <f>IF(selection!H465=1,selection!M465,NA())</f>
        <v/>
      </c>
      <c r="V468">
        <f>IF(selection!H465=1,selection!N465,NA())</f>
        <v/>
      </c>
      <c r="W468">
        <f>IF(selection!H465=0,selection!M465,NA())</f>
        <v/>
      </c>
      <c r="X468">
        <f>IF(selection!H465=0,selection!N465,NA())</f>
        <v/>
      </c>
    </row>
    <row r="469">
      <c r="U469">
        <f>IF(selection!H466=1,selection!M466,NA())</f>
        <v/>
      </c>
      <c r="V469">
        <f>IF(selection!H466=1,selection!N466,NA())</f>
        <v/>
      </c>
      <c r="W469">
        <f>IF(selection!H466=0,selection!M466,NA())</f>
        <v/>
      </c>
      <c r="X469">
        <f>IF(selection!H466=0,selection!N466,NA())</f>
        <v/>
      </c>
    </row>
    <row r="470">
      <c r="U470">
        <f>IF(selection!H467=1,selection!M467,NA())</f>
        <v/>
      </c>
      <c r="V470">
        <f>IF(selection!H467=1,selection!N467,NA())</f>
        <v/>
      </c>
      <c r="W470">
        <f>IF(selection!H467=0,selection!M467,NA())</f>
        <v/>
      </c>
      <c r="X470">
        <f>IF(selection!H467=0,selection!N467,NA())</f>
        <v/>
      </c>
    </row>
    <row r="471">
      <c r="U471">
        <f>IF(selection!H468=1,selection!M468,NA())</f>
        <v/>
      </c>
      <c r="V471">
        <f>IF(selection!H468=1,selection!N468,NA())</f>
        <v/>
      </c>
      <c r="W471">
        <f>IF(selection!H468=0,selection!M468,NA())</f>
        <v/>
      </c>
      <c r="X471">
        <f>IF(selection!H468=0,selection!N468,NA())</f>
        <v/>
      </c>
    </row>
    <row r="472">
      <c r="U472">
        <f>IF(selection!H469=1,selection!M469,NA())</f>
        <v/>
      </c>
      <c r="V472">
        <f>IF(selection!H469=1,selection!N469,NA())</f>
        <v/>
      </c>
      <c r="W472">
        <f>IF(selection!H469=0,selection!M469,NA())</f>
        <v/>
      </c>
      <c r="X472">
        <f>IF(selection!H469=0,selection!N469,NA())</f>
        <v/>
      </c>
    </row>
    <row r="473">
      <c r="U473">
        <f>IF(selection!H470=1,selection!M470,NA())</f>
        <v/>
      </c>
      <c r="V473">
        <f>IF(selection!H470=1,selection!N470,NA())</f>
        <v/>
      </c>
      <c r="W473">
        <f>IF(selection!H470=0,selection!M470,NA())</f>
        <v/>
      </c>
      <c r="X473">
        <f>IF(selection!H470=0,selection!N470,NA())</f>
        <v/>
      </c>
    </row>
    <row r="474">
      <c r="U474">
        <f>IF(selection!H471=1,selection!M471,NA())</f>
        <v/>
      </c>
      <c r="V474">
        <f>IF(selection!H471=1,selection!N471,NA())</f>
        <v/>
      </c>
      <c r="W474">
        <f>IF(selection!H471=0,selection!M471,NA())</f>
        <v/>
      </c>
      <c r="X474">
        <f>IF(selection!H471=0,selection!N471,NA())</f>
        <v/>
      </c>
    </row>
    <row r="475">
      <c r="U475">
        <f>IF(selection!H472=1,selection!M472,NA())</f>
        <v/>
      </c>
      <c r="V475">
        <f>IF(selection!H472=1,selection!N472,NA())</f>
        <v/>
      </c>
      <c r="W475">
        <f>IF(selection!H472=0,selection!M472,NA())</f>
        <v/>
      </c>
      <c r="X475">
        <f>IF(selection!H472=0,selection!N472,NA())</f>
        <v/>
      </c>
    </row>
    <row r="476">
      <c r="U476">
        <f>IF(selection!H473=1,selection!M473,NA())</f>
        <v/>
      </c>
      <c r="V476">
        <f>IF(selection!H473=1,selection!N473,NA())</f>
        <v/>
      </c>
      <c r="W476">
        <f>IF(selection!H473=0,selection!M473,NA())</f>
        <v/>
      </c>
      <c r="X476">
        <f>IF(selection!H473=0,selection!N473,NA())</f>
        <v/>
      </c>
    </row>
    <row r="477">
      <c r="U477">
        <f>IF(selection!H474=1,selection!M474,NA())</f>
        <v/>
      </c>
      <c r="V477">
        <f>IF(selection!H474=1,selection!N474,NA())</f>
        <v/>
      </c>
      <c r="W477">
        <f>IF(selection!H474=0,selection!M474,NA())</f>
        <v/>
      </c>
      <c r="X477">
        <f>IF(selection!H474=0,selection!N474,NA())</f>
        <v/>
      </c>
    </row>
    <row r="478">
      <c r="U478">
        <f>IF(selection!H475=1,selection!M475,NA())</f>
        <v/>
      </c>
      <c r="V478">
        <f>IF(selection!H475=1,selection!N475,NA())</f>
        <v/>
      </c>
      <c r="W478">
        <f>IF(selection!H475=0,selection!M475,NA())</f>
        <v/>
      </c>
      <c r="X478">
        <f>IF(selection!H475=0,selection!N475,NA())</f>
        <v/>
      </c>
    </row>
    <row r="479">
      <c r="U479">
        <f>IF(selection!H476=1,selection!M476,NA())</f>
        <v/>
      </c>
      <c r="V479">
        <f>IF(selection!H476=1,selection!N476,NA())</f>
        <v/>
      </c>
      <c r="W479">
        <f>IF(selection!H476=0,selection!M476,NA())</f>
        <v/>
      </c>
      <c r="X479">
        <f>IF(selection!H476=0,selection!N476,NA())</f>
        <v/>
      </c>
    </row>
    <row r="480">
      <c r="U480">
        <f>IF(selection!H477=1,selection!M477,NA())</f>
        <v/>
      </c>
      <c r="V480">
        <f>IF(selection!H477=1,selection!N477,NA())</f>
        <v/>
      </c>
      <c r="W480">
        <f>IF(selection!H477=0,selection!M477,NA())</f>
        <v/>
      </c>
      <c r="X480">
        <f>IF(selection!H477=0,selection!N477,NA())</f>
        <v/>
      </c>
    </row>
    <row r="481">
      <c r="U481">
        <f>IF(selection!H478=1,selection!M478,NA())</f>
        <v/>
      </c>
      <c r="V481">
        <f>IF(selection!H478=1,selection!N478,NA())</f>
        <v/>
      </c>
      <c r="W481">
        <f>IF(selection!H478=0,selection!M478,NA())</f>
        <v/>
      </c>
      <c r="X481">
        <f>IF(selection!H478=0,selection!N478,NA())</f>
        <v/>
      </c>
    </row>
    <row r="482">
      <c r="U482">
        <f>IF(selection!H479=1,selection!M479,NA())</f>
        <v/>
      </c>
      <c r="V482">
        <f>IF(selection!H479=1,selection!N479,NA())</f>
        <v/>
      </c>
      <c r="W482">
        <f>IF(selection!H479=0,selection!M479,NA())</f>
        <v/>
      </c>
      <c r="X482">
        <f>IF(selection!H479=0,selection!N479,NA())</f>
        <v/>
      </c>
    </row>
    <row r="483">
      <c r="U483">
        <f>IF(selection!H480=1,selection!M480,NA())</f>
        <v/>
      </c>
      <c r="V483">
        <f>IF(selection!H480=1,selection!N480,NA())</f>
        <v/>
      </c>
      <c r="W483">
        <f>IF(selection!H480=0,selection!M480,NA())</f>
        <v/>
      </c>
      <c r="X483">
        <f>IF(selection!H480=0,selection!N480,NA())</f>
        <v/>
      </c>
    </row>
    <row r="484">
      <c r="U484">
        <f>IF(selection!H481=1,selection!M481,NA())</f>
        <v/>
      </c>
      <c r="V484">
        <f>IF(selection!H481=1,selection!N481,NA())</f>
        <v/>
      </c>
      <c r="W484">
        <f>IF(selection!H481=0,selection!M481,NA())</f>
        <v/>
      </c>
      <c r="X484">
        <f>IF(selection!H481=0,selection!N481,NA())</f>
        <v/>
      </c>
    </row>
    <row r="485">
      <c r="U485">
        <f>IF(selection!H482=1,selection!M482,NA())</f>
        <v/>
      </c>
      <c r="V485">
        <f>IF(selection!H482=1,selection!N482,NA())</f>
        <v/>
      </c>
      <c r="W485">
        <f>IF(selection!H482=0,selection!M482,NA())</f>
        <v/>
      </c>
      <c r="X485">
        <f>IF(selection!H482=0,selection!N482,NA())</f>
        <v/>
      </c>
    </row>
    <row r="486">
      <c r="U486">
        <f>IF(selection!H483=1,selection!M483,NA())</f>
        <v/>
      </c>
      <c r="V486">
        <f>IF(selection!H483=1,selection!N483,NA())</f>
        <v/>
      </c>
      <c r="W486">
        <f>IF(selection!H483=0,selection!M483,NA())</f>
        <v/>
      </c>
      <c r="X486">
        <f>IF(selection!H483=0,selection!N483,NA())</f>
        <v/>
      </c>
    </row>
    <row r="487">
      <c r="U487">
        <f>IF(selection!H484=1,selection!M484,NA())</f>
        <v/>
      </c>
      <c r="V487">
        <f>IF(selection!H484=1,selection!N484,NA())</f>
        <v/>
      </c>
      <c r="W487">
        <f>IF(selection!H484=0,selection!M484,NA())</f>
        <v/>
      </c>
      <c r="X487">
        <f>IF(selection!H484=0,selection!N484,NA())</f>
        <v/>
      </c>
    </row>
    <row r="488">
      <c r="U488">
        <f>IF(selection!H485=1,selection!M485,NA())</f>
        <v/>
      </c>
      <c r="V488">
        <f>IF(selection!H485=1,selection!N485,NA())</f>
        <v/>
      </c>
      <c r="W488">
        <f>IF(selection!H485=0,selection!M485,NA())</f>
        <v/>
      </c>
      <c r="X488">
        <f>IF(selection!H485=0,selection!N485,NA())</f>
        <v/>
      </c>
    </row>
    <row r="489">
      <c r="U489">
        <f>IF(selection!H486=1,selection!M486,NA())</f>
        <v/>
      </c>
      <c r="V489">
        <f>IF(selection!H486=1,selection!N486,NA())</f>
        <v/>
      </c>
      <c r="W489">
        <f>IF(selection!H486=0,selection!M486,NA())</f>
        <v/>
      </c>
      <c r="X489">
        <f>IF(selection!H486=0,selection!N486,NA())</f>
        <v/>
      </c>
    </row>
    <row r="490">
      <c r="U490">
        <f>IF(selection!H487=1,selection!M487,NA())</f>
        <v/>
      </c>
      <c r="V490">
        <f>IF(selection!H487=1,selection!N487,NA())</f>
        <v/>
      </c>
      <c r="W490">
        <f>IF(selection!H487=0,selection!M487,NA())</f>
        <v/>
      </c>
      <c r="X490">
        <f>IF(selection!H487=0,selection!N487,NA())</f>
        <v/>
      </c>
    </row>
    <row r="491">
      <c r="U491">
        <f>IF(selection!H488=1,selection!M488,NA())</f>
        <v/>
      </c>
      <c r="V491">
        <f>IF(selection!H488=1,selection!N488,NA())</f>
        <v/>
      </c>
      <c r="W491">
        <f>IF(selection!H488=0,selection!M488,NA())</f>
        <v/>
      </c>
      <c r="X491">
        <f>IF(selection!H488=0,selection!N488,NA())</f>
        <v/>
      </c>
    </row>
    <row r="492">
      <c r="U492">
        <f>IF(selection!H489=1,selection!M489,NA())</f>
        <v/>
      </c>
      <c r="V492">
        <f>IF(selection!H489=1,selection!N489,NA())</f>
        <v/>
      </c>
      <c r="W492">
        <f>IF(selection!H489=0,selection!M489,NA())</f>
        <v/>
      </c>
      <c r="X492">
        <f>IF(selection!H489=0,selection!N489,NA())</f>
        <v/>
      </c>
    </row>
    <row r="493">
      <c r="U493">
        <f>IF(selection!H490=1,selection!M490,NA())</f>
        <v/>
      </c>
      <c r="V493">
        <f>IF(selection!H490=1,selection!N490,NA())</f>
        <v/>
      </c>
      <c r="W493">
        <f>IF(selection!H490=0,selection!M490,NA())</f>
        <v/>
      </c>
      <c r="X493">
        <f>IF(selection!H490=0,selection!N490,NA())</f>
        <v/>
      </c>
    </row>
    <row r="494">
      <c r="U494">
        <f>IF(selection!H491=1,selection!M491,NA())</f>
        <v/>
      </c>
      <c r="V494">
        <f>IF(selection!H491=1,selection!N491,NA())</f>
        <v/>
      </c>
      <c r="W494">
        <f>IF(selection!H491=0,selection!M491,NA())</f>
        <v/>
      </c>
      <c r="X494">
        <f>IF(selection!H491=0,selection!N491,NA())</f>
        <v/>
      </c>
    </row>
    <row r="495">
      <c r="U495">
        <f>IF(selection!H492=1,selection!M492,NA())</f>
        <v/>
      </c>
      <c r="V495">
        <f>IF(selection!H492=1,selection!N492,NA())</f>
        <v/>
      </c>
      <c r="W495">
        <f>IF(selection!H492=0,selection!M492,NA())</f>
        <v/>
      </c>
      <c r="X495">
        <f>IF(selection!H492=0,selection!N492,NA())</f>
        <v/>
      </c>
    </row>
    <row r="496">
      <c r="U496">
        <f>IF(selection!H493=1,selection!M493,NA())</f>
        <v/>
      </c>
      <c r="V496">
        <f>IF(selection!H493=1,selection!N493,NA())</f>
        <v/>
      </c>
      <c r="W496">
        <f>IF(selection!H493=0,selection!M493,NA())</f>
        <v/>
      </c>
      <c r="X496">
        <f>IF(selection!H493=0,selection!N493,NA())</f>
        <v/>
      </c>
    </row>
    <row r="497">
      <c r="U497">
        <f>IF(selection!H494=1,selection!M494,NA())</f>
        <v/>
      </c>
      <c r="V497">
        <f>IF(selection!H494=1,selection!N494,NA())</f>
        <v/>
      </c>
      <c r="W497">
        <f>IF(selection!H494=0,selection!M494,NA())</f>
        <v/>
      </c>
      <c r="X497">
        <f>IF(selection!H494=0,selection!N494,NA())</f>
        <v/>
      </c>
    </row>
    <row r="498">
      <c r="U498">
        <f>IF(selection!H495=1,selection!M495,NA())</f>
        <v/>
      </c>
      <c r="V498">
        <f>IF(selection!H495=1,selection!N495,NA())</f>
        <v/>
      </c>
      <c r="W498">
        <f>IF(selection!H495=0,selection!M495,NA())</f>
        <v/>
      </c>
      <c r="X498">
        <f>IF(selection!H495=0,selection!N495,NA())</f>
        <v/>
      </c>
    </row>
    <row r="499">
      <c r="U499">
        <f>IF(selection!H496=1,selection!M496,NA())</f>
        <v/>
      </c>
      <c r="V499">
        <f>IF(selection!H496=1,selection!N496,NA())</f>
        <v/>
      </c>
      <c r="W499">
        <f>IF(selection!H496=0,selection!M496,NA())</f>
        <v/>
      </c>
      <c r="X499">
        <f>IF(selection!H496=0,selection!N496,NA())</f>
        <v/>
      </c>
    </row>
    <row r="500">
      <c r="U500">
        <f>IF(selection!H497=1,selection!M497,NA())</f>
        <v/>
      </c>
      <c r="V500">
        <f>IF(selection!H497=1,selection!N497,NA())</f>
        <v/>
      </c>
      <c r="W500">
        <f>IF(selection!H497=0,selection!M497,NA())</f>
        <v/>
      </c>
      <c r="X500">
        <f>IF(selection!H497=0,selection!N497,NA())</f>
        <v/>
      </c>
    </row>
    <row r="501">
      <c r="U501">
        <f>IF(selection!H498=1,selection!M498,NA())</f>
        <v/>
      </c>
      <c r="V501">
        <f>IF(selection!H498=1,selection!N498,NA())</f>
        <v/>
      </c>
      <c r="W501">
        <f>IF(selection!H498=0,selection!M498,NA())</f>
        <v/>
      </c>
      <c r="X501">
        <f>IF(selection!H498=0,selection!N498,NA())</f>
        <v/>
      </c>
    </row>
    <row r="502">
      <c r="U502">
        <f>IF(selection!H499=1,selection!M499,NA())</f>
        <v/>
      </c>
      <c r="V502">
        <f>IF(selection!H499=1,selection!N499,NA())</f>
        <v/>
      </c>
      <c r="W502">
        <f>IF(selection!H499=0,selection!M499,NA())</f>
        <v/>
      </c>
      <c r="X502">
        <f>IF(selection!H499=0,selection!N499,NA())</f>
        <v/>
      </c>
    </row>
    <row r="503">
      <c r="U503">
        <f>IF(selection!H500=1,selection!M500,NA())</f>
        <v/>
      </c>
      <c r="V503">
        <f>IF(selection!H500=1,selection!N500,NA())</f>
        <v/>
      </c>
      <c r="W503">
        <f>IF(selection!H500=0,selection!M500,NA())</f>
        <v/>
      </c>
      <c r="X503">
        <f>IF(selection!H500=0,selection!N500,NA())</f>
        <v/>
      </c>
    </row>
    <row r="504">
      <c r="U504">
        <f>IF(selection!H501=1,selection!M501,NA())</f>
        <v/>
      </c>
      <c r="V504">
        <f>IF(selection!H501=1,selection!N501,NA())</f>
        <v/>
      </c>
      <c r="W504">
        <f>IF(selection!H501=0,selection!M501,NA())</f>
        <v/>
      </c>
      <c r="X504">
        <f>IF(selection!H501=0,selection!N501,NA())</f>
        <v/>
      </c>
    </row>
    <row r="505">
      <c r="U505">
        <f>IF(selection!H502=1,selection!M502,NA())</f>
        <v/>
      </c>
      <c r="V505">
        <f>IF(selection!H502=1,selection!N502,NA())</f>
        <v/>
      </c>
      <c r="W505">
        <f>IF(selection!H502=0,selection!M502,NA())</f>
        <v/>
      </c>
      <c r="X505">
        <f>IF(selection!H502=0,selection!N502,NA())</f>
        <v/>
      </c>
    </row>
    <row r="506">
      <c r="U506">
        <f>IF(selection!H503=1,selection!M503,NA())</f>
        <v/>
      </c>
      <c r="V506">
        <f>IF(selection!H503=1,selection!N503,NA())</f>
        <v/>
      </c>
      <c r="W506">
        <f>IF(selection!H503=0,selection!M503,NA())</f>
        <v/>
      </c>
      <c r="X506">
        <f>IF(selection!H503=0,selection!N503,NA())</f>
        <v/>
      </c>
    </row>
    <row r="507">
      <c r="U507">
        <f>IF(selection!H504=1,selection!M504,NA())</f>
        <v/>
      </c>
      <c r="V507">
        <f>IF(selection!H504=1,selection!N504,NA())</f>
        <v/>
      </c>
      <c r="W507">
        <f>IF(selection!H504=0,selection!M504,NA())</f>
        <v/>
      </c>
      <c r="X507">
        <f>IF(selection!H504=0,selection!N504,NA())</f>
        <v/>
      </c>
    </row>
    <row r="508">
      <c r="U508">
        <f>IF(selection!H505=1,selection!M505,NA())</f>
        <v/>
      </c>
      <c r="V508">
        <f>IF(selection!H505=1,selection!N505,NA())</f>
        <v/>
      </c>
      <c r="W508">
        <f>IF(selection!H505=0,selection!M505,NA())</f>
        <v/>
      </c>
      <c r="X508">
        <f>IF(selection!H505=0,selection!N505,NA())</f>
        <v/>
      </c>
    </row>
    <row r="509">
      <c r="U509">
        <f>IF(selection!H506=1,selection!M506,NA())</f>
        <v/>
      </c>
      <c r="V509">
        <f>IF(selection!H506=1,selection!N506,NA())</f>
        <v/>
      </c>
      <c r="W509">
        <f>IF(selection!H506=0,selection!M506,NA())</f>
        <v/>
      </c>
      <c r="X509">
        <f>IF(selection!H506=0,selection!N506,NA())</f>
        <v/>
      </c>
    </row>
    <row r="510">
      <c r="U510">
        <f>IF(selection!H507=1,selection!M507,NA())</f>
        <v/>
      </c>
      <c r="V510">
        <f>IF(selection!H507=1,selection!N507,NA())</f>
        <v/>
      </c>
      <c r="W510">
        <f>IF(selection!H507=0,selection!M507,NA())</f>
        <v/>
      </c>
      <c r="X510">
        <f>IF(selection!H507=0,selection!N507,NA())</f>
        <v/>
      </c>
    </row>
    <row r="511">
      <c r="U511">
        <f>IF(selection!H508=1,selection!M508,NA())</f>
        <v/>
      </c>
      <c r="V511">
        <f>IF(selection!H508=1,selection!N508,NA())</f>
        <v/>
      </c>
      <c r="W511">
        <f>IF(selection!H508=0,selection!M508,NA())</f>
        <v/>
      </c>
      <c r="X511">
        <f>IF(selection!H508=0,selection!N508,NA())</f>
        <v/>
      </c>
    </row>
    <row r="512">
      <c r="U512">
        <f>IF(selection!H509=1,selection!M509,NA())</f>
        <v/>
      </c>
      <c r="V512">
        <f>IF(selection!H509=1,selection!N509,NA())</f>
        <v/>
      </c>
      <c r="W512">
        <f>IF(selection!H509=0,selection!M509,NA())</f>
        <v/>
      </c>
      <c r="X512">
        <f>IF(selection!H509=0,selection!N509,NA())</f>
        <v/>
      </c>
    </row>
    <row r="513">
      <c r="U513">
        <f>IF(selection!H510=1,selection!M510,NA())</f>
        <v/>
      </c>
      <c r="V513">
        <f>IF(selection!H510=1,selection!N510,NA())</f>
        <v/>
      </c>
      <c r="W513">
        <f>IF(selection!H510=0,selection!M510,NA())</f>
        <v/>
      </c>
      <c r="X513">
        <f>IF(selection!H510=0,selection!N510,NA())</f>
        <v/>
      </c>
    </row>
    <row r="514">
      <c r="U514">
        <f>IF(selection!H511=1,selection!M511,NA())</f>
        <v/>
      </c>
      <c r="V514">
        <f>IF(selection!H511=1,selection!N511,NA())</f>
        <v/>
      </c>
      <c r="W514">
        <f>IF(selection!H511=0,selection!M511,NA())</f>
        <v/>
      </c>
      <c r="X514">
        <f>IF(selection!H511=0,selection!N511,NA())</f>
        <v/>
      </c>
    </row>
    <row r="515">
      <c r="U515">
        <f>IF(selection!H512=1,selection!M512,NA())</f>
        <v/>
      </c>
      <c r="V515">
        <f>IF(selection!H512=1,selection!N512,NA())</f>
        <v/>
      </c>
      <c r="W515">
        <f>IF(selection!H512=0,selection!M512,NA())</f>
        <v/>
      </c>
      <c r="X515">
        <f>IF(selection!H512=0,selection!N512,NA())</f>
        <v/>
      </c>
    </row>
    <row r="516">
      <c r="U516">
        <f>IF(selection!H513=1,selection!M513,NA())</f>
        <v/>
      </c>
      <c r="V516">
        <f>IF(selection!H513=1,selection!N513,NA())</f>
        <v/>
      </c>
      <c r="W516">
        <f>IF(selection!H513=0,selection!M513,NA())</f>
        <v/>
      </c>
      <c r="X516">
        <f>IF(selection!H513=0,selection!N513,NA())</f>
        <v/>
      </c>
    </row>
    <row r="517">
      <c r="U517">
        <f>IF(selection!H514=1,selection!M514,NA())</f>
        <v/>
      </c>
      <c r="V517">
        <f>IF(selection!H514=1,selection!N514,NA())</f>
        <v/>
      </c>
      <c r="W517">
        <f>IF(selection!H514=0,selection!M514,NA())</f>
        <v/>
      </c>
      <c r="X517">
        <f>IF(selection!H514=0,selection!N514,NA())</f>
        <v/>
      </c>
    </row>
    <row r="518">
      <c r="U518">
        <f>IF(selection!H515=1,selection!M515,NA())</f>
        <v/>
      </c>
      <c r="V518">
        <f>IF(selection!H515=1,selection!N515,NA())</f>
        <v/>
      </c>
      <c r="W518">
        <f>IF(selection!H515=0,selection!M515,NA())</f>
        <v/>
      </c>
      <c r="X518">
        <f>IF(selection!H515=0,selection!N515,NA())</f>
        <v/>
      </c>
    </row>
    <row r="519">
      <c r="U519">
        <f>IF(selection!H516=1,selection!M516,NA())</f>
        <v/>
      </c>
      <c r="V519">
        <f>IF(selection!H516=1,selection!N516,NA())</f>
        <v/>
      </c>
      <c r="W519">
        <f>IF(selection!H516=0,selection!M516,NA())</f>
        <v/>
      </c>
      <c r="X519">
        <f>IF(selection!H516=0,selection!N516,NA())</f>
        <v/>
      </c>
    </row>
    <row r="520">
      <c r="U520">
        <f>IF(selection!H517=1,selection!M517,NA())</f>
        <v/>
      </c>
      <c r="V520">
        <f>IF(selection!H517=1,selection!N517,NA())</f>
        <v/>
      </c>
      <c r="W520">
        <f>IF(selection!H517=0,selection!M517,NA())</f>
        <v/>
      </c>
      <c r="X520">
        <f>IF(selection!H517=0,selection!N517,NA())</f>
        <v/>
      </c>
    </row>
    <row r="521">
      <c r="U521">
        <f>IF(selection!H518=1,selection!M518,NA())</f>
        <v/>
      </c>
      <c r="V521">
        <f>IF(selection!H518=1,selection!N518,NA())</f>
        <v/>
      </c>
      <c r="W521">
        <f>IF(selection!H518=0,selection!M518,NA())</f>
        <v/>
      </c>
      <c r="X521">
        <f>IF(selection!H518=0,selection!N518,NA())</f>
        <v/>
      </c>
    </row>
    <row r="522">
      <c r="U522">
        <f>IF(selection!H519=1,selection!M519,NA())</f>
        <v/>
      </c>
      <c r="V522">
        <f>IF(selection!H519=1,selection!N519,NA())</f>
        <v/>
      </c>
      <c r="W522">
        <f>IF(selection!H519=0,selection!M519,NA())</f>
        <v/>
      </c>
      <c r="X522">
        <f>IF(selection!H519=0,selection!N519,NA())</f>
        <v/>
      </c>
    </row>
    <row r="523">
      <c r="U523">
        <f>IF(selection!H520=1,selection!M520,NA())</f>
        <v/>
      </c>
      <c r="V523">
        <f>IF(selection!H520=1,selection!N520,NA())</f>
        <v/>
      </c>
      <c r="W523">
        <f>IF(selection!H520=0,selection!M520,NA())</f>
        <v/>
      </c>
      <c r="X523">
        <f>IF(selection!H520=0,selection!N520,NA())</f>
        <v/>
      </c>
    </row>
    <row r="524">
      <c r="U524">
        <f>IF(selection!H521=1,selection!M521,NA())</f>
        <v/>
      </c>
      <c r="V524">
        <f>IF(selection!H521=1,selection!N521,NA())</f>
        <v/>
      </c>
      <c r="W524">
        <f>IF(selection!H521=0,selection!M521,NA())</f>
        <v/>
      </c>
      <c r="X524">
        <f>IF(selection!H521=0,selection!N521,NA())</f>
        <v/>
      </c>
    </row>
    <row r="525">
      <c r="U525">
        <f>IF(selection!H522=1,selection!M522,NA())</f>
        <v/>
      </c>
      <c r="V525">
        <f>IF(selection!H522=1,selection!N522,NA())</f>
        <v/>
      </c>
      <c r="W525">
        <f>IF(selection!H522=0,selection!M522,NA())</f>
        <v/>
      </c>
      <c r="X525">
        <f>IF(selection!H522=0,selection!N522,NA())</f>
        <v/>
      </c>
    </row>
    <row r="526">
      <c r="U526">
        <f>IF(selection!H523=1,selection!M523,NA())</f>
        <v/>
      </c>
      <c r="V526">
        <f>IF(selection!H523=1,selection!N523,NA())</f>
        <v/>
      </c>
      <c r="W526">
        <f>IF(selection!H523=0,selection!M523,NA())</f>
        <v/>
      </c>
      <c r="X526">
        <f>IF(selection!H523=0,selection!N523,NA())</f>
        <v/>
      </c>
    </row>
    <row r="527">
      <c r="U527">
        <f>IF(selection!H524=1,selection!M524,NA())</f>
        <v/>
      </c>
      <c r="V527">
        <f>IF(selection!H524=1,selection!N524,NA())</f>
        <v/>
      </c>
      <c r="W527">
        <f>IF(selection!H524=0,selection!M524,NA())</f>
        <v/>
      </c>
      <c r="X527">
        <f>IF(selection!H524=0,selection!N524,NA())</f>
        <v/>
      </c>
    </row>
    <row r="528">
      <c r="U528">
        <f>IF(selection!H525=1,selection!M525,NA())</f>
        <v/>
      </c>
      <c r="V528">
        <f>IF(selection!H525=1,selection!N525,NA())</f>
        <v/>
      </c>
      <c r="W528">
        <f>IF(selection!H525=0,selection!M525,NA())</f>
        <v/>
      </c>
      <c r="X528">
        <f>IF(selection!H525=0,selection!N525,NA())</f>
        <v/>
      </c>
    </row>
    <row r="529">
      <c r="U529">
        <f>IF(selection!H526=1,selection!M526,NA())</f>
        <v/>
      </c>
      <c r="V529">
        <f>IF(selection!H526=1,selection!N526,NA())</f>
        <v/>
      </c>
      <c r="W529">
        <f>IF(selection!H526=0,selection!M526,NA())</f>
        <v/>
      </c>
      <c r="X529">
        <f>IF(selection!H526=0,selection!N526,NA())</f>
        <v/>
      </c>
    </row>
    <row r="530">
      <c r="U530">
        <f>IF(selection!H527=1,selection!M527,NA())</f>
        <v/>
      </c>
      <c r="V530">
        <f>IF(selection!H527=1,selection!N527,NA())</f>
        <v/>
      </c>
      <c r="W530">
        <f>IF(selection!H527=0,selection!M527,NA())</f>
        <v/>
      </c>
      <c r="X530">
        <f>IF(selection!H527=0,selection!N527,NA())</f>
        <v/>
      </c>
    </row>
    <row r="531">
      <c r="U531">
        <f>IF(selection!H528=1,selection!M528,NA())</f>
        <v/>
      </c>
      <c r="V531">
        <f>IF(selection!H528=1,selection!N528,NA())</f>
        <v/>
      </c>
      <c r="W531">
        <f>IF(selection!H528=0,selection!M528,NA())</f>
        <v/>
      </c>
      <c r="X531">
        <f>IF(selection!H528=0,selection!N528,NA())</f>
        <v/>
      </c>
    </row>
    <row r="532">
      <c r="U532">
        <f>IF(selection!H529=1,selection!M529,NA())</f>
        <v/>
      </c>
      <c r="V532">
        <f>IF(selection!H529=1,selection!N529,NA())</f>
        <v/>
      </c>
      <c r="W532">
        <f>IF(selection!H529=0,selection!M529,NA())</f>
        <v/>
      </c>
      <c r="X532">
        <f>IF(selection!H529=0,selection!N529,NA())</f>
        <v/>
      </c>
    </row>
    <row r="533">
      <c r="U533">
        <f>IF(selection!H530=1,selection!M530,NA())</f>
        <v/>
      </c>
      <c r="V533">
        <f>IF(selection!H530=1,selection!N530,NA())</f>
        <v/>
      </c>
      <c r="W533">
        <f>IF(selection!H530=0,selection!M530,NA())</f>
        <v/>
      </c>
      <c r="X533">
        <f>IF(selection!H530=0,selection!N530,NA())</f>
        <v/>
      </c>
    </row>
    <row r="534">
      <c r="U534">
        <f>IF(selection!H531=1,selection!M531,NA())</f>
        <v/>
      </c>
      <c r="V534">
        <f>IF(selection!H531=1,selection!N531,NA())</f>
        <v/>
      </c>
      <c r="W534">
        <f>IF(selection!H531=0,selection!M531,NA())</f>
        <v/>
      </c>
      <c r="X534">
        <f>IF(selection!H531=0,selection!N531,NA())</f>
        <v/>
      </c>
    </row>
    <row r="535">
      <c r="U535">
        <f>IF(selection!H532=1,selection!M532,NA())</f>
        <v/>
      </c>
      <c r="V535">
        <f>IF(selection!H532=1,selection!N532,NA())</f>
        <v/>
      </c>
      <c r="W535">
        <f>IF(selection!H532=0,selection!M532,NA())</f>
        <v/>
      </c>
      <c r="X535">
        <f>IF(selection!H532=0,selection!N532,NA())</f>
        <v/>
      </c>
    </row>
    <row r="536">
      <c r="U536">
        <f>IF(selection!H533=1,selection!M533,NA())</f>
        <v/>
      </c>
      <c r="V536">
        <f>IF(selection!H533=1,selection!N533,NA())</f>
        <v/>
      </c>
      <c r="W536">
        <f>IF(selection!H533=0,selection!M533,NA())</f>
        <v/>
      </c>
      <c r="X536">
        <f>IF(selection!H533=0,selection!N533,NA())</f>
        <v/>
      </c>
    </row>
    <row r="537">
      <c r="U537">
        <f>IF(selection!H534=1,selection!M534,NA())</f>
        <v/>
      </c>
      <c r="V537">
        <f>IF(selection!H534=1,selection!N534,NA())</f>
        <v/>
      </c>
      <c r="W537">
        <f>IF(selection!H534=0,selection!M534,NA())</f>
        <v/>
      </c>
      <c r="X537">
        <f>IF(selection!H534=0,selection!N534,NA())</f>
        <v/>
      </c>
    </row>
    <row r="538">
      <c r="U538">
        <f>IF(selection!H535=1,selection!M535,NA())</f>
        <v/>
      </c>
      <c r="V538">
        <f>IF(selection!H535=1,selection!N535,NA())</f>
        <v/>
      </c>
      <c r="W538">
        <f>IF(selection!H535=0,selection!M535,NA())</f>
        <v/>
      </c>
      <c r="X538">
        <f>IF(selection!H535=0,selection!N535,NA())</f>
        <v/>
      </c>
    </row>
    <row r="539">
      <c r="U539">
        <f>IF(selection!H536=1,selection!M536,NA())</f>
        <v/>
      </c>
      <c r="V539">
        <f>IF(selection!H536=1,selection!N536,NA())</f>
        <v/>
      </c>
      <c r="W539">
        <f>IF(selection!H536=0,selection!M536,NA())</f>
        <v/>
      </c>
      <c r="X539">
        <f>IF(selection!H536=0,selection!N536,NA())</f>
        <v/>
      </c>
    </row>
    <row r="540">
      <c r="U540">
        <f>IF(selection!H537=1,selection!M537,NA())</f>
        <v/>
      </c>
      <c r="V540">
        <f>IF(selection!H537=1,selection!N537,NA())</f>
        <v/>
      </c>
      <c r="W540">
        <f>IF(selection!H537=0,selection!M537,NA())</f>
        <v/>
      </c>
      <c r="X540">
        <f>IF(selection!H537=0,selection!N537,NA())</f>
        <v/>
      </c>
    </row>
    <row r="541">
      <c r="U541">
        <f>IF(selection!H538=1,selection!M538,NA())</f>
        <v/>
      </c>
      <c r="V541">
        <f>IF(selection!H538=1,selection!N538,NA())</f>
        <v/>
      </c>
      <c r="W541">
        <f>IF(selection!H538=0,selection!M538,NA())</f>
        <v/>
      </c>
      <c r="X541">
        <f>IF(selection!H538=0,selection!N538,NA())</f>
        <v/>
      </c>
    </row>
    <row r="542">
      <c r="U542">
        <f>IF(selection!H539=1,selection!M539,NA())</f>
        <v/>
      </c>
      <c r="V542">
        <f>IF(selection!H539=1,selection!N539,NA())</f>
        <v/>
      </c>
      <c r="W542">
        <f>IF(selection!H539=0,selection!M539,NA())</f>
        <v/>
      </c>
      <c r="X542">
        <f>IF(selection!H539=0,selection!N539,NA())</f>
        <v/>
      </c>
    </row>
    <row r="543">
      <c r="U543">
        <f>IF(selection!H540=1,selection!M540,NA())</f>
        <v/>
      </c>
      <c r="V543">
        <f>IF(selection!H540=1,selection!N540,NA())</f>
        <v/>
      </c>
      <c r="W543">
        <f>IF(selection!H540=0,selection!M540,NA())</f>
        <v/>
      </c>
      <c r="X543">
        <f>IF(selection!H540=0,selection!N540,NA())</f>
        <v/>
      </c>
    </row>
    <row r="544">
      <c r="U544">
        <f>IF(selection!H541=1,selection!M541,NA())</f>
        <v/>
      </c>
      <c r="V544">
        <f>IF(selection!H541=1,selection!N541,NA())</f>
        <v/>
      </c>
      <c r="W544">
        <f>IF(selection!H541=0,selection!M541,NA())</f>
        <v/>
      </c>
      <c r="X544">
        <f>IF(selection!H541=0,selection!N541,NA())</f>
        <v/>
      </c>
    </row>
    <row r="545">
      <c r="U545">
        <f>IF(selection!H542=1,selection!M542,NA())</f>
        <v/>
      </c>
      <c r="V545">
        <f>IF(selection!H542=1,selection!N542,NA())</f>
        <v/>
      </c>
      <c r="W545">
        <f>IF(selection!H542=0,selection!M542,NA())</f>
        <v/>
      </c>
      <c r="X545">
        <f>IF(selection!H542=0,selection!N542,NA())</f>
        <v/>
      </c>
    </row>
    <row r="546">
      <c r="U546">
        <f>IF(selection!H543=1,selection!M543,NA())</f>
        <v/>
      </c>
      <c r="V546">
        <f>IF(selection!H543=1,selection!N543,NA())</f>
        <v/>
      </c>
      <c r="W546">
        <f>IF(selection!H543=0,selection!M543,NA())</f>
        <v/>
      </c>
      <c r="X546">
        <f>IF(selection!H543=0,selection!N543,NA())</f>
        <v/>
      </c>
    </row>
    <row r="547">
      <c r="U547">
        <f>IF(selection!H544=1,selection!M544,NA())</f>
        <v/>
      </c>
      <c r="V547">
        <f>IF(selection!H544=1,selection!N544,NA())</f>
        <v/>
      </c>
      <c r="W547">
        <f>IF(selection!H544=0,selection!M544,NA())</f>
        <v/>
      </c>
      <c r="X547">
        <f>IF(selection!H544=0,selection!N544,NA())</f>
        <v/>
      </c>
    </row>
    <row r="548">
      <c r="U548">
        <f>IF(selection!H545=1,selection!M545,NA())</f>
        <v/>
      </c>
      <c r="V548">
        <f>IF(selection!H545=1,selection!N545,NA())</f>
        <v/>
      </c>
      <c r="W548">
        <f>IF(selection!H545=0,selection!M545,NA())</f>
        <v/>
      </c>
      <c r="X548">
        <f>IF(selection!H545=0,selection!N545,NA())</f>
        <v/>
      </c>
    </row>
    <row r="549">
      <c r="U549">
        <f>IF(selection!H546=1,selection!M546,NA())</f>
        <v/>
      </c>
      <c r="V549">
        <f>IF(selection!H546=1,selection!N546,NA())</f>
        <v/>
      </c>
      <c r="W549">
        <f>IF(selection!H546=0,selection!M546,NA())</f>
        <v/>
      </c>
      <c r="X549">
        <f>IF(selection!H546=0,selection!N546,NA())</f>
        <v/>
      </c>
    </row>
    <row r="550">
      <c r="U550">
        <f>IF(selection!H547=1,selection!M547,NA())</f>
        <v/>
      </c>
      <c r="V550">
        <f>IF(selection!H547=1,selection!N547,NA())</f>
        <v/>
      </c>
      <c r="W550">
        <f>IF(selection!H547=0,selection!M547,NA())</f>
        <v/>
      </c>
      <c r="X550">
        <f>IF(selection!H547=0,selection!N547,NA())</f>
        <v/>
      </c>
    </row>
    <row r="551">
      <c r="U551">
        <f>IF(selection!H548=1,selection!M548,NA())</f>
        <v/>
      </c>
      <c r="V551">
        <f>IF(selection!H548=1,selection!N548,NA())</f>
        <v/>
      </c>
      <c r="W551">
        <f>IF(selection!H548=0,selection!M548,NA())</f>
        <v/>
      </c>
      <c r="X551">
        <f>IF(selection!H548=0,selection!N548,NA())</f>
        <v/>
      </c>
    </row>
    <row r="552">
      <c r="U552">
        <f>IF(selection!H549=1,selection!M549,NA())</f>
        <v/>
      </c>
      <c r="V552">
        <f>IF(selection!H549=1,selection!N549,NA())</f>
        <v/>
      </c>
      <c r="W552">
        <f>IF(selection!H549=0,selection!M549,NA())</f>
        <v/>
      </c>
      <c r="X552">
        <f>IF(selection!H549=0,selection!N549,NA())</f>
        <v/>
      </c>
    </row>
    <row r="553">
      <c r="U553">
        <f>IF(selection!H550=1,selection!M550,NA())</f>
        <v/>
      </c>
      <c r="V553">
        <f>IF(selection!H550=1,selection!N550,NA())</f>
        <v/>
      </c>
      <c r="W553">
        <f>IF(selection!H550=0,selection!M550,NA())</f>
        <v/>
      </c>
      <c r="X553">
        <f>IF(selection!H550=0,selection!N550,NA())</f>
        <v/>
      </c>
    </row>
    <row r="554">
      <c r="U554">
        <f>IF(selection!H551=1,selection!M551,NA())</f>
        <v/>
      </c>
      <c r="V554">
        <f>IF(selection!H551=1,selection!N551,NA())</f>
        <v/>
      </c>
      <c r="W554">
        <f>IF(selection!H551=0,selection!M551,NA())</f>
        <v/>
      </c>
      <c r="X554">
        <f>IF(selection!H551=0,selection!N551,NA())</f>
        <v/>
      </c>
    </row>
    <row r="555">
      <c r="U555">
        <f>IF(selection!H552=1,selection!M552,NA())</f>
        <v/>
      </c>
      <c r="V555">
        <f>IF(selection!H552=1,selection!N552,NA())</f>
        <v/>
      </c>
      <c r="W555">
        <f>IF(selection!H552=0,selection!M552,NA())</f>
        <v/>
      </c>
      <c r="X555">
        <f>IF(selection!H552=0,selection!N552,NA())</f>
        <v/>
      </c>
    </row>
    <row r="556">
      <c r="U556">
        <f>IF(selection!H553=1,selection!M553,NA())</f>
        <v/>
      </c>
      <c r="V556">
        <f>IF(selection!H553=1,selection!N553,NA())</f>
        <v/>
      </c>
      <c r="W556">
        <f>IF(selection!H553=0,selection!M553,NA())</f>
        <v/>
      </c>
      <c r="X556">
        <f>IF(selection!H553=0,selection!N553,NA())</f>
        <v/>
      </c>
    </row>
    <row r="557">
      <c r="U557">
        <f>IF(selection!H554=1,selection!M554,NA())</f>
        <v/>
      </c>
      <c r="V557">
        <f>IF(selection!H554=1,selection!N554,NA())</f>
        <v/>
      </c>
      <c r="W557">
        <f>IF(selection!H554=0,selection!M554,NA())</f>
        <v/>
      </c>
      <c r="X557">
        <f>IF(selection!H554=0,selection!N554,NA())</f>
        <v/>
      </c>
    </row>
    <row r="558">
      <c r="U558">
        <f>IF(selection!H555=1,selection!M555,NA())</f>
        <v/>
      </c>
      <c r="V558">
        <f>IF(selection!H555=1,selection!N555,NA())</f>
        <v/>
      </c>
      <c r="W558">
        <f>IF(selection!H555=0,selection!M555,NA())</f>
        <v/>
      </c>
      <c r="X558">
        <f>IF(selection!H555=0,selection!N555,NA())</f>
        <v/>
      </c>
    </row>
    <row r="559">
      <c r="U559">
        <f>IF(selection!H556=1,selection!M556,NA())</f>
        <v/>
      </c>
      <c r="V559">
        <f>IF(selection!H556=1,selection!N556,NA())</f>
        <v/>
      </c>
      <c r="W559">
        <f>IF(selection!H556=0,selection!M556,NA())</f>
        <v/>
      </c>
      <c r="X559">
        <f>IF(selection!H556=0,selection!N556,NA())</f>
        <v/>
      </c>
    </row>
    <row r="560">
      <c r="U560">
        <f>IF(selection!H557=1,selection!M557,NA())</f>
        <v/>
      </c>
      <c r="V560">
        <f>IF(selection!H557=1,selection!N557,NA())</f>
        <v/>
      </c>
      <c r="W560">
        <f>IF(selection!H557=0,selection!M557,NA())</f>
        <v/>
      </c>
      <c r="X560">
        <f>IF(selection!H557=0,selection!N557,NA())</f>
        <v/>
      </c>
    </row>
    <row r="561">
      <c r="U561">
        <f>IF(selection!H558=1,selection!M558,NA())</f>
        <v/>
      </c>
      <c r="V561">
        <f>IF(selection!H558=1,selection!N558,NA())</f>
        <v/>
      </c>
      <c r="W561">
        <f>IF(selection!H558=0,selection!M558,NA())</f>
        <v/>
      </c>
      <c r="X561">
        <f>IF(selection!H558=0,selection!N558,NA())</f>
        <v/>
      </c>
    </row>
    <row r="562">
      <c r="U562">
        <f>IF(selection!H559=1,selection!M559,NA())</f>
        <v/>
      </c>
      <c r="V562">
        <f>IF(selection!H559=1,selection!N559,NA())</f>
        <v/>
      </c>
      <c r="W562">
        <f>IF(selection!H559=0,selection!M559,NA())</f>
        <v/>
      </c>
      <c r="X562">
        <f>IF(selection!H559=0,selection!N559,NA())</f>
        <v/>
      </c>
    </row>
    <row r="563">
      <c r="U563">
        <f>IF(selection!H560=1,selection!M560,NA())</f>
        <v/>
      </c>
      <c r="V563">
        <f>IF(selection!H560=1,selection!N560,NA())</f>
        <v/>
      </c>
      <c r="W563">
        <f>IF(selection!H560=0,selection!M560,NA())</f>
        <v/>
      </c>
      <c r="X563">
        <f>IF(selection!H560=0,selection!N560,NA())</f>
        <v/>
      </c>
    </row>
    <row r="564">
      <c r="U564">
        <f>IF(selection!H561=1,selection!M561,NA())</f>
        <v/>
      </c>
      <c r="V564">
        <f>IF(selection!H561=1,selection!N561,NA())</f>
        <v/>
      </c>
      <c r="W564">
        <f>IF(selection!H561=0,selection!M561,NA())</f>
        <v/>
      </c>
      <c r="X564">
        <f>IF(selection!H561=0,selection!N561,NA())</f>
        <v/>
      </c>
    </row>
    <row r="565">
      <c r="U565">
        <f>IF(selection!H562=1,selection!M562,NA())</f>
        <v/>
      </c>
      <c r="V565">
        <f>IF(selection!H562=1,selection!N562,NA())</f>
        <v/>
      </c>
      <c r="W565">
        <f>IF(selection!H562=0,selection!M562,NA())</f>
        <v/>
      </c>
      <c r="X565">
        <f>IF(selection!H562=0,selection!N562,NA())</f>
        <v/>
      </c>
    </row>
    <row r="566">
      <c r="U566">
        <f>IF(selection!H563=1,selection!M563,NA())</f>
        <v/>
      </c>
      <c r="V566">
        <f>IF(selection!H563=1,selection!N563,NA())</f>
        <v/>
      </c>
      <c r="W566">
        <f>IF(selection!H563=0,selection!M563,NA())</f>
        <v/>
      </c>
      <c r="X566">
        <f>IF(selection!H563=0,selection!N563,NA())</f>
        <v/>
      </c>
    </row>
    <row r="567">
      <c r="U567">
        <f>IF(selection!H564=1,selection!M564,NA())</f>
        <v/>
      </c>
      <c r="V567">
        <f>IF(selection!H564=1,selection!N564,NA())</f>
        <v/>
      </c>
      <c r="W567">
        <f>IF(selection!H564=0,selection!M564,NA())</f>
        <v/>
      </c>
      <c r="X567">
        <f>IF(selection!H564=0,selection!N564,NA())</f>
        <v/>
      </c>
    </row>
    <row r="568">
      <c r="U568">
        <f>IF(selection!H565=1,selection!M565,NA())</f>
        <v/>
      </c>
      <c r="V568">
        <f>IF(selection!H565=1,selection!N565,NA())</f>
        <v/>
      </c>
      <c r="W568">
        <f>IF(selection!H565=0,selection!M565,NA())</f>
        <v/>
      </c>
      <c r="X568">
        <f>IF(selection!H565=0,selection!N565,NA())</f>
        <v/>
      </c>
    </row>
    <row r="569">
      <c r="U569">
        <f>IF(selection!H566=1,selection!M566,NA())</f>
        <v/>
      </c>
      <c r="V569">
        <f>IF(selection!H566=1,selection!N566,NA())</f>
        <v/>
      </c>
      <c r="W569">
        <f>IF(selection!H566=0,selection!M566,NA())</f>
        <v/>
      </c>
      <c r="X569">
        <f>IF(selection!H566=0,selection!N566,NA())</f>
        <v/>
      </c>
    </row>
    <row r="570">
      <c r="U570">
        <f>IF(selection!H567=1,selection!M567,NA())</f>
        <v/>
      </c>
      <c r="V570">
        <f>IF(selection!H567=1,selection!N567,NA())</f>
        <v/>
      </c>
      <c r="W570">
        <f>IF(selection!H567=0,selection!M567,NA())</f>
        <v/>
      </c>
      <c r="X570">
        <f>IF(selection!H567=0,selection!N567,NA())</f>
        <v/>
      </c>
    </row>
    <row r="571">
      <c r="U571">
        <f>IF(selection!H568=1,selection!M568,NA())</f>
        <v/>
      </c>
      <c r="V571">
        <f>IF(selection!H568=1,selection!N568,NA())</f>
        <v/>
      </c>
      <c r="W571">
        <f>IF(selection!H568=0,selection!M568,NA())</f>
        <v/>
      </c>
      <c r="X571">
        <f>IF(selection!H568=0,selection!N568,NA())</f>
        <v/>
      </c>
    </row>
    <row r="572">
      <c r="U572">
        <f>IF(selection!H569=1,selection!M569,NA())</f>
        <v/>
      </c>
      <c r="V572">
        <f>IF(selection!H569=1,selection!N569,NA())</f>
        <v/>
      </c>
      <c r="W572">
        <f>IF(selection!H569=0,selection!M569,NA())</f>
        <v/>
      </c>
      <c r="X572">
        <f>IF(selection!H569=0,selection!N569,NA())</f>
        <v/>
      </c>
    </row>
    <row r="573">
      <c r="U573">
        <f>IF(selection!H570=1,selection!M570,NA())</f>
        <v/>
      </c>
      <c r="V573">
        <f>IF(selection!H570=1,selection!N570,NA())</f>
        <v/>
      </c>
      <c r="W573">
        <f>IF(selection!H570=0,selection!M570,NA())</f>
        <v/>
      </c>
      <c r="X573">
        <f>IF(selection!H570=0,selection!N570,NA())</f>
        <v/>
      </c>
    </row>
    <row r="574">
      <c r="U574">
        <f>IF(selection!H571=1,selection!M571,NA())</f>
        <v/>
      </c>
      <c r="V574">
        <f>IF(selection!H571=1,selection!N571,NA())</f>
        <v/>
      </c>
      <c r="W574">
        <f>IF(selection!H571=0,selection!M571,NA())</f>
        <v/>
      </c>
      <c r="X574">
        <f>IF(selection!H571=0,selection!N571,NA())</f>
        <v/>
      </c>
    </row>
    <row r="575">
      <c r="U575">
        <f>IF(selection!H572=1,selection!M572,NA())</f>
        <v/>
      </c>
      <c r="V575">
        <f>IF(selection!H572=1,selection!N572,NA())</f>
        <v/>
      </c>
      <c r="W575">
        <f>IF(selection!H572=0,selection!M572,NA())</f>
        <v/>
      </c>
      <c r="X575">
        <f>IF(selection!H572=0,selection!N572,NA())</f>
        <v/>
      </c>
    </row>
    <row r="576">
      <c r="U576">
        <f>IF(selection!H573=1,selection!M573,NA())</f>
        <v/>
      </c>
      <c r="V576">
        <f>IF(selection!H573=1,selection!N573,NA())</f>
        <v/>
      </c>
      <c r="W576">
        <f>IF(selection!H573=0,selection!M573,NA())</f>
        <v/>
      </c>
      <c r="X576">
        <f>IF(selection!H573=0,selection!N573,NA())</f>
        <v/>
      </c>
    </row>
    <row r="577">
      <c r="U577">
        <f>IF(selection!H574=1,selection!M574,NA())</f>
        <v/>
      </c>
      <c r="V577">
        <f>IF(selection!H574=1,selection!N574,NA())</f>
        <v/>
      </c>
      <c r="W577">
        <f>IF(selection!H574=0,selection!M574,NA())</f>
        <v/>
      </c>
      <c r="X577">
        <f>IF(selection!H574=0,selection!N574,NA())</f>
        <v/>
      </c>
    </row>
    <row r="578">
      <c r="U578">
        <f>IF(selection!H575=1,selection!M575,NA())</f>
        <v/>
      </c>
      <c r="V578">
        <f>IF(selection!H575=1,selection!N575,NA())</f>
        <v/>
      </c>
      <c r="W578">
        <f>IF(selection!H575=0,selection!M575,NA())</f>
        <v/>
      </c>
      <c r="X578">
        <f>IF(selection!H575=0,selection!N575,NA())</f>
        <v/>
      </c>
    </row>
    <row r="579">
      <c r="U579">
        <f>IF(selection!H576=1,selection!M576,NA())</f>
        <v/>
      </c>
      <c r="V579">
        <f>IF(selection!H576=1,selection!N576,NA())</f>
        <v/>
      </c>
      <c r="W579">
        <f>IF(selection!H576=0,selection!M576,NA())</f>
        <v/>
      </c>
      <c r="X579">
        <f>IF(selection!H576=0,selection!N576,NA())</f>
        <v/>
      </c>
    </row>
    <row r="580">
      <c r="U580">
        <f>IF(selection!H577=1,selection!M577,NA())</f>
        <v/>
      </c>
      <c r="V580">
        <f>IF(selection!H577=1,selection!N577,NA())</f>
        <v/>
      </c>
      <c r="W580">
        <f>IF(selection!H577=0,selection!M577,NA())</f>
        <v/>
      </c>
      <c r="X580">
        <f>IF(selection!H577=0,selection!N577,NA())</f>
        <v/>
      </c>
    </row>
    <row r="581">
      <c r="U581">
        <f>IF(selection!H578=1,selection!M578,NA())</f>
        <v/>
      </c>
      <c r="V581">
        <f>IF(selection!H578=1,selection!N578,NA())</f>
        <v/>
      </c>
      <c r="W581">
        <f>IF(selection!H578=0,selection!M578,NA())</f>
        <v/>
      </c>
      <c r="X581">
        <f>IF(selection!H578=0,selection!N578,NA())</f>
        <v/>
      </c>
    </row>
    <row r="582">
      <c r="U582">
        <f>IF(selection!H579=1,selection!M579,NA())</f>
        <v/>
      </c>
      <c r="V582">
        <f>IF(selection!H579=1,selection!N579,NA())</f>
        <v/>
      </c>
      <c r="W582">
        <f>IF(selection!H579=0,selection!M579,NA())</f>
        <v/>
      </c>
      <c r="X582">
        <f>IF(selection!H579=0,selection!N579,NA())</f>
        <v/>
      </c>
    </row>
    <row r="583">
      <c r="U583">
        <f>IF(selection!H580=1,selection!M580,NA())</f>
        <v/>
      </c>
      <c r="V583">
        <f>IF(selection!H580=1,selection!N580,NA())</f>
        <v/>
      </c>
      <c r="W583">
        <f>IF(selection!H580=0,selection!M580,NA())</f>
        <v/>
      </c>
      <c r="X583">
        <f>IF(selection!H580=0,selection!N580,NA())</f>
        <v/>
      </c>
    </row>
    <row r="584">
      <c r="U584">
        <f>IF(selection!H581=1,selection!M581,NA())</f>
        <v/>
      </c>
      <c r="V584">
        <f>IF(selection!H581=1,selection!N581,NA())</f>
        <v/>
      </c>
      <c r="W584">
        <f>IF(selection!H581=0,selection!M581,NA())</f>
        <v/>
      </c>
      <c r="X584">
        <f>IF(selection!H581=0,selection!N581,NA())</f>
        <v/>
      </c>
    </row>
    <row r="585">
      <c r="U585">
        <f>IF(selection!H582=1,selection!M582,NA())</f>
        <v/>
      </c>
      <c r="V585">
        <f>IF(selection!H582=1,selection!N582,NA())</f>
        <v/>
      </c>
      <c r="W585">
        <f>IF(selection!H582=0,selection!M582,NA())</f>
        <v/>
      </c>
      <c r="X585">
        <f>IF(selection!H582=0,selection!N582,NA())</f>
        <v/>
      </c>
    </row>
    <row r="586">
      <c r="U586">
        <f>IF(selection!H583=1,selection!M583,NA())</f>
        <v/>
      </c>
      <c r="V586">
        <f>IF(selection!H583=1,selection!N583,NA())</f>
        <v/>
      </c>
      <c r="W586">
        <f>IF(selection!H583=0,selection!M583,NA())</f>
        <v/>
      </c>
      <c r="X586">
        <f>IF(selection!H583=0,selection!N583,NA())</f>
        <v/>
      </c>
    </row>
    <row r="587">
      <c r="U587">
        <f>IF(selection!H584=1,selection!M584,NA())</f>
        <v/>
      </c>
      <c r="V587">
        <f>IF(selection!H584=1,selection!N584,NA())</f>
        <v/>
      </c>
      <c r="W587">
        <f>IF(selection!H584=0,selection!M584,NA())</f>
        <v/>
      </c>
      <c r="X587">
        <f>IF(selection!H584=0,selection!N584,NA())</f>
        <v/>
      </c>
    </row>
    <row r="588">
      <c r="U588">
        <f>IF(selection!H585=1,selection!M585,NA())</f>
        <v/>
      </c>
      <c r="V588">
        <f>IF(selection!H585=1,selection!N585,NA())</f>
        <v/>
      </c>
      <c r="W588">
        <f>IF(selection!H585=0,selection!M585,NA())</f>
        <v/>
      </c>
      <c r="X588">
        <f>IF(selection!H585=0,selection!N585,NA())</f>
        <v/>
      </c>
    </row>
    <row r="589">
      <c r="U589">
        <f>IF(selection!H586=1,selection!M586,NA())</f>
        <v/>
      </c>
      <c r="V589">
        <f>IF(selection!H586=1,selection!N586,NA())</f>
        <v/>
      </c>
      <c r="W589">
        <f>IF(selection!H586=0,selection!M586,NA())</f>
        <v/>
      </c>
      <c r="X589">
        <f>IF(selection!H586=0,selection!N586,NA())</f>
        <v/>
      </c>
    </row>
    <row r="590">
      <c r="U590">
        <f>IF(selection!H587=1,selection!M587,NA())</f>
        <v/>
      </c>
      <c r="V590">
        <f>IF(selection!H587=1,selection!N587,NA())</f>
        <v/>
      </c>
      <c r="W590">
        <f>IF(selection!H587=0,selection!M587,NA())</f>
        <v/>
      </c>
      <c r="X590">
        <f>IF(selection!H587=0,selection!N587,NA())</f>
        <v/>
      </c>
    </row>
    <row r="591">
      <c r="U591">
        <f>IF(selection!H588=1,selection!M588,NA())</f>
        <v/>
      </c>
      <c r="V591">
        <f>IF(selection!H588=1,selection!N588,NA())</f>
        <v/>
      </c>
      <c r="W591">
        <f>IF(selection!H588=0,selection!M588,NA())</f>
        <v/>
      </c>
      <c r="X591">
        <f>IF(selection!H588=0,selection!N588,NA())</f>
        <v/>
      </c>
    </row>
    <row r="592">
      <c r="U592">
        <f>IF(selection!H589=1,selection!M589,NA())</f>
        <v/>
      </c>
      <c r="V592">
        <f>IF(selection!H589=1,selection!N589,NA())</f>
        <v/>
      </c>
      <c r="W592">
        <f>IF(selection!H589=0,selection!M589,NA())</f>
        <v/>
      </c>
      <c r="X592">
        <f>IF(selection!H589=0,selection!N589,NA())</f>
        <v/>
      </c>
    </row>
    <row r="593">
      <c r="U593">
        <f>IF(selection!H590=1,selection!M590,NA())</f>
        <v/>
      </c>
      <c r="V593">
        <f>IF(selection!H590=1,selection!N590,NA())</f>
        <v/>
      </c>
      <c r="W593">
        <f>IF(selection!H590=0,selection!M590,NA())</f>
        <v/>
      </c>
      <c r="X593">
        <f>IF(selection!H590=0,selection!N590,NA())</f>
        <v/>
      </c>
    </row>
    <row r="594">
      <c r="U594">
        <f>IF(selection!H591=1,selection!M591,NA())</f>
        <v/>
      </c>
      <c r="V594">
        <f>IF(selection!H591=1,selection!N591,NA())</f>
        <v/>
      </c>
      <c r="W594">
        <f>IF(selection!H591=0,selection!M591,NA())</f>
        <v/>
      </c>
      <c r="X594">
        <f>IF(selection!H591=0,selection!N591,NA())</f>
        <v/>
      </c>
    </row>
    <row r="595">
      <c r="U595">
        <f>IF(selection!H592=1,selection!M592,NA())</f>
        <v/>
      </c>
      <c r="V595">
        <f>IF(selection!H592=1,selection!N592,NA())</f>
        <v/>
      </c>
      <c r="W595">
        <f>IF(selection!H592=0,selection!M592,NA())</f>
        <v/>
      </c>
      <c r="X595">
        <f>IF(selection!H592=0,selection!N592,NA())</f>
        <v/>
      </c>
    </row>
    <row r="596">
      <c r="U596">
        <f>IF(selection!H593=1,selection!M593,NA())</f>
        <v/>
      </c>
      <c r="V596">
        <f>IF(selection!H593=1,selection!N593,NA())</f>
        <v/>
      </c>
      <c r="W596">
        <f>IF(selection!H593=0,selection!M593,NA())</f>
        <v/>
      </c>
      <c r="X596">
        <f>IF(selection!H593=0,selection!N593,NA())</f>
        <v/>
      </c>
    </row>
    <row r="597">
      <c r="U597">
        <f>IF(selection!H594=1,selection!M594,NA())</f>
        <v/>
      </c>
      <c r="V597">
        <f>IF(selection!H594=1,selection!N594,NA())</f>
        <v/>
      </c>
      <c r="W597">
        <f>IF(selection!H594=0,selection!M594,NA())</f>
        <v/>
      </c>
      <c r="X597">
        <f>IF(selection!H594=0,selection!N594,NA())</f>
        <v/>
      </c>
    </row>
    <row r="598">
      <c r="U598">
        <f>IF(selection!H595=1,selection!M595,NA())</f>
        <v/>
      </c>
      <c r="V598">
        <f>IF(selection!H595=1,selection!N595,NA())</f>
        <v/>
      </c>
      <c r="W598">
        <f>IF(selection!H595=0,selection!M595,NA())</f>
        <v/>
      </c>
      <c r="X598">
        <f>IF(selection!H595=0,selection!N595,NA())</f>
        <v/>
      </c>
    </row>
    <row r="599">
      <c r="U599">
        <f>IF(selection!H596=1,selection!M596,NA())</f>
        <v/>
      </c>
      <c r="V599">
        <f>IF(selection!H596=1,selection!N596,NA())</f>
        <v/>
      </c>
      <c r="W599">
        <f>IF(selection!H596=0,selection!M596,NA())</f>
        <v/>
      </c>
      <c r="X599">
        <f>IF(selection!H596=0,selection!N596,NA())</f>
        <v/>
      </c>
    </row>
    <row r="600">
      <c r="U600">
        <f>IF(selection!H597=1,selection!M597,NA())</f>
        <v/>
      </c>
      <c r="V600">
        <f>IF(selection!H597=1,selection!N597,NA())</f>
        <v/>
      </c>
      <c r="W600">
        <f>IF(selection!H597=0,selection!M597,NA())</f>
        <v/>
      </c>
      <c r="X600">
        <f>IF(selection!H597=0,selection!N597,NA())</f>
        <v/>
      </c>
    </row>
    <row r="601">
      <c r="U601">
        <f>IF(selection!H598=1,selection!M598,NA())</f>
        <v/>
      </c>
      <c r="V601">
        <f>IF(selection!H598=1,selection!N598,NA())</f>
        <v/>
      </c>
      <c r="W601">
        <f>IF(selection!H598=0,selection!M598,NA())</f>
        <v/>
      </c>
      <c r="X601">
        <f>IF(selection!H598=0,selection!N598,NA())</f>
        <v/>
      </c>
    </row>
    <row r="602">
      <c r="U602">
        <f>IF(selection!H599=1,selection!M599,NA())</f>
        <v/>
      </c>
      <c r="V602">
        <f>IF(selection!H599=1,selection!N599,NA())</f>
        <v/>
      </c>
      <c r="W602">
        <f>IF(selection!H599=0,selection!M599,NA())</f>
        <v/>
      </c>
      <c r="X602">
        <f>IF(selection!H599=0,selection!N599,NA())</f>
        <v/>
      </c>
    </row>
    <row r="603">
      <c r="U603">
        <f>IF(selection!H600=1,selection!M600,NA())</f>
        <v/>
      </c>
      <c r="V603">
        <f>IF(selection!H600=1,selection!N600,NA())</f>
        <v/>
      </c>
      <c r="W603">
        <f>IF(selection!H600=0,selection!M600,NA())</f>
        <v/>
      </c>
      <c r="X603">
        <f>IF(selection!H600=0,selection!N600,NA())</f>
        <v/>
      </c>
    </row>
    <row r="604">
      <c r="U604">
        <f>IF(selection!H601=1,selection!M601,NA())</f>
        <v/>
      </c>
      <c r="V604">
        <f>IF(selection!H601=1,selection!N601,NA())</f>
        <v/>
      </c>
      <c r="W604">
        <f>IF(selection!H601=0,selection!M601,NA())</f>
        <v/>
      </c>
      <c r="X604">
        <f>IF(selection!H601=0,selection!N601,NA())</f>
        <v/>
      </c>
    </row>
    <row r="605">
      <c r="U605">
        <f>IF(selection!H602=1,selection!M602,NA())</f>
        <v/>
      </c>
      <c r="V605">
        <f>IF(selection!H602=1,selection!N602,NA())</f>
        <v/>
      </c>
      <c r="W605">
        <f>IF(selection!H602=0,selection!M602,NA())</f>
        <v/>
      </c>
      <c r="X605">
        <f>IF(selection!H602=0,selection!N602,NA())</f>
        <v/>
      </c>
    </row>
    <row r="606">
      <c r="U606">
        <f>IF(selection!H603=1,selection!M603,NA())</f>
        <v/>
      </c>
      <c r="V606">
        <f>IF(selection!H603=1,selection!N603,NA())</f>
        <v/>
      </c>
      <c r="W606">
        <f>IF(selection!H603=0,selection!M603,NA())</f>
        <v/>
      </c>
      <c r="X606">
        <f>IF(selection!H603=0,selection!N603,NA())</f>
        <v/>
      </c>
    </row>
    <row r="607">
      <c r="U607">
        <f>IF(selection!H604=1,selection!M604,NA())</f>
        <v/>
      </c>
      <c r="V607">
        <f>IF(selection!H604=1,selection!N604,NA())</f>
        <v/>
      </c>
      <c r="W607">
        <f>IF(selection!H604=0,selection!M604,NA())</f>
        <v/>
      </c>
      <c r="X607">
        <f>IF(selection!H604=0,selection!N604,NA())</f>
        <v/>
      </c>
    </row>
    <row r="608">
      <c r="U608">
        <f>IF(selection!H605=1,selection!M605,NA())</f>
        <v/>
      </c>
      <c r="V608">
        <f>IF(selection!H605=1,selection!N605,NA())</f>
        <v/>
      </c>
      <c r="W608">
        <f>IF(selection!H605=0,selection!M605,NA())</f>
        <v/>
      </c>
      <c r="X608">
        <f>IF(selection!H605=0,selection!N605,NA())</f>
        <v/>
      </c>
    </row>
    <row r="609">
      <c r="U609">
        <f>IF(selection!H606=1,selection!M606,NA())</f>
        <v/>
      </c>
      <c r="V609">
        <f>IF(selection!H606=1,selection!N606,NA())</f>
        <v/>
      </c>
      <c r="W609">
        <f>IF(selection!H606=0,selection!M606,NA())</f>
        <v/>
      </c>
      <c r="X609">
        <f>IF(selection!H606=0,selection!N606,NA())</f>
        <v/>
      </c>
    </row>
    <row r="610">
      <c r="U610">
        <f>IF(selection!H607=1,selection!M607,NA())</f>
        <v/>
      </c>
      <c r="V610">
        <f>IF(selection!H607=1,selection!N607,NA())</f>
        <v/>
      </c>
      <c r="W610">
        <f>IF(selection!H607=0,selection!M607,NA())</f>
        <v/>
      </c>
      <c r="X610">
        <f>IF(selection!H607=0,selection!N607,NA())</f>
        <v/>
      </c>
    </row>
    <row r="611">
      <c r="U611">
        <f>IF(selection!H608=1,selection!M608,NA())</f>
        <v/>
      </c>
      <c r="V611">
        <f>IF(selection!H608=1,selection!N608,NA())</f>
        <v/>
      </c>
      <c r="W611">
        <f>IF(selection!H608=0,selection!M608,NA())</f>
        <v/>
      </c>
      <c r="X611">
        <f>IF(selection!H608=0,selection!N608,NA())</f>
        <v/>
      </c>
    </row>
    <row r="612">
      <c r="U612">
        <f>IF(selection!H609=1,selection!M609,NA())</f>
        <v/>
      </c>
      <c r="V612">
        <f>IF(selection!H609=1,selection!N609,NA())</f>
        <v/>
      </c>
      <c r="W612">
        <f>IF(selection!H609=0,selection!M609,NA())</f>
        <v/>
      </c>
      <c r="X612">
        <f>IF(selection!H609=0,selection!N609,NA())</f>
        <v/>
      </c>
    </row>
    <row r="613">
      <c r="U613">
        <f>IF(selection!H610=1,selection!M610,NA())</f>
        <v/>
      </c>
      <c r="V613">
        <f>IF(selection!H610=1,selection!N610,NA())</f>
        <v/>
      </c>
      <c r="W613">
        <f>IF(selection!H610=0,selection!M610,NA())</f>
        <v/>
      </c>
      <c r="X613">
        <f>IF(selection!H610=0,selection!N610,NA())</f>
        <v/>
      </c>
    </row>
    <row r="614">
      <c r="U614">
        <f>IF(selection!H611=1,selection!M611,NA())</f>
        <v/>
      </c>
      <c r="V614">
        <f>IF(selection!H611=1,selection!N611,NA())</f>
        <v/>
      </c>
      <c r="W614">
        <f>IF(selection!H611=0,selection!M611,NA())</f>
        <v/>
      </c>
      <c r="X614">
        <f>IF(selection!H611=0,selection!N611,NA())</f>
        <v/>
      </c>
    </row>
    <row r="615">
      <c r="U615">
        <f>IF(selection!H612=1,selection!M612,NA())</f>
        <v/>
      </c>
      <c r="V615">
        <f>IF(selection!H612=1,selection!N612,NA())</f>
        <v/>
      </c>
      <c r="W615">
        <f>IF(selection!H612=0,selection!M612,NA())</f>
        <v/>
      </c>
      <c r="X615">
        <f>IF(selection!H612=0,selection!N612,NA())</f>
        <v/>
      </c>
    </row>
    <row r="616">
      <c r="U616">
        <f>IF(selection!H613=1,selection!M613,NA())</f>
        <v/>
      </c>
      <c r="V616">
        <f>IF(selection!H613=1,selection!N613,NA())</f>
        <v/>
      </c>
      <c r="W616">
        <f>IF(selection!H613=0,selection!M613,NA())</f>
        <v/>
      </c>
      <c r="X616">
        <f>IF(selection!H613=0,selection!N613,NA())</f>
        <v/>
      </c>
    </row>
    <row r="617">
      <c r="U617">
        <f>IF(selection!H614=1,selection!M614,NA())</f>
        <v/>
      </c>
      <c r="V617">
        <f>IF(selection!H614=1,selection!N614,NA())</f>
        <v/>
      </c>
      <c r="W617">
        <f>IF(selection!H614=0,selection!M614,NA())</f>
        <v/>
      </c>
      <c r="X617">
        <f>IF(selection!H614=0,selection!N614,NA())</f>
        <v/>
      </c>
    </row>
    <row r="618">
      <c r="U618">
        <f>IF(selection!H615=1,selection!M615,NA())</f>
        <v/>
      </c>
      <c r="V618">
        <f>IF(selection!H615=1,selection!N615,NA())</f>
        <v/>
      </c>
      <c r="W618">
        <f>IF(selection!H615=0,selection!M615,NA())</f>
        <v/>
      </c>
      <c r="X618">
        <f>IF(selection!H615=0,selection!N615,NA())</f>
        <v/>
      </c>
    </row>
    <row r="619">
      <c r="U619">
        <f>IF(selection!H616=1,selection!M616,NA())</f>
        <v/>
      </c>
      <c r="V619">
        <f>IF(selection!H616=1,selection!N616,NA())</f>
        <v/>
      </c>
      <c r="W619">
        <f>IF(selection!H616=0,selection!M616,NA())</f>
        <v/>
      </c>
      <c r="X619">
        <f>IF(selection!H616=0,selection!N616,NA())</f>
        <v/>
      </c>
    </row>
    <row r="620">
      <c r="U620">
        <f>IF(selection!H617=1,selection!M617,NA())</f>
        <v/>
      </c>
      <c r="V620">
        <f>IF(selection!H617=1,selection!N617,NA())</f>
        <v/>
      </c>
      <c r="W620">
        <f>IF(selection!H617=0,selection!M617,NA())</f>
        <v/>
      </c>
      <c r="X620">
        <f>IF(selection!H617=0,selection!N617,NA())</f>
        <v/>
      </c>
    </row>
    <row r="621">
      <c r="U621">
        <f>IF(selection!H618=1,selection!M618,NA())</f>
        <v/>
      </c>
      <c r="V621">
        <f>IF(selection!H618=1,selection!N618,NA())</f>
        <v/>
      </c>
      <c r="W621">
        <f>IF(selection!H618=0,selection!M618,NA())</f>
        <v/>
      </c>
      <c r="X621">
        <f>IF(selection!H618=0,selection!N618,NA())</f>
        <v/>
      </c>
    </row>
    <row r="622">
      <c r="U622">
        <f>IF(selection!H619=1,selection!M619,NA())</f>
        <v/>
      </c>
      <c r="V622">
        <f>IF(selection!H619=1,selection!N619,NA())</f>
        <v/>
      </c>
      <c r="W622">
        <f>IF(selection!H619=0,selection!M619,NA())</f>
        <v/>
      </c>
      <c r="X622">
        <f>IF(selection!H619=0,selection!N619,NA())</f>
        <v/>
      </c>
    </row>
    <row r="623">
      <c r="U623">
        <f>IF(selection!H620=1,selection!M620,NA())</f>
        <v/>
      </c>
      <c r="V623">
        <f>IF(selection!H620=1,selection!N620,NA())</f>
        <v/>
      </c>
      <c r="W623">
        <f>IF(selection!H620=0,selection!M620,NA())</f>
        <v/>
      </c>
      <c r="X623">
        <f>IF(selection!H620=0,selection!N620,NA())</f>
        <v/>
      </c>
    </row>
    <row r="624">
      <c r="U624">
        <f>IF(selection!H621=1,selection!M621,NA())</f>
        <v/>
      </c>
      <c r="V624">
        <f>IF(selection!H621=1,selection!N621,NA())</f>
        <v/>
      </c>
      <c r="W624">
        <f>IF(selection!H621=0,selection!M621,NA())</f>
        <v/>
      </c>
      <c r="X624">
        <f>IF(selection!H621=0,selection!N621,NA())</f>
        <v/>
      </c>
    </row>
    <row r="625">
      <c r="U625">
        <f>IF(selection!H622=1,selection!M622,NA())</f>
        <v/>
      </c>
      <c r="V625">
        <f>IF(selection!H622=1,selection!N622,NA())</f>
        <v/>
      </c>
      <c r="W625">
        <f>IF(selection!H622=0,selection!M622,NA())</f>
        <v/>
      </c>
      <c r="X625">
        <f>IF(selection!H622=0,selection!N622,NA())</f>
        <v/>
      </c>
    </row>
    <row r="626">
      <c r="U626">
        <f>IF(selection!H623=1,selection!M623,NA())</f>
        <v/>
      </c>
      <c r="V626">
        <f>IF(selection!H623=1,selection!N623,NA())</f>
        <v/>
      </c>
      <c r="W626">
        <f>IF(selection!H623=0,selection!M623,NA())</f>
        <v/>
      </c>
      <c r="X626">
        <f>IF(selection!H623=0,selection!N623,NA())</f>
        <v/>
      </c>
    </row>
    <row r="627">
      <c r="U627">
        <f>IF(selection!H624=1,selection!M624,NA())</f>
        <v/>
      </c>
      <c r="V627">
        <f>IF(selection!H624=1,selection!N624,NA())</f>
        <v/>
      </c>
      <c r="W627">
        <f>IF(selection!H624=0,selection!M624,NA())</f>
        <v/>
      </c>
      <c r="X627">
        <f>IF(selection!H624=0,selection!N624,NA())</f>
        <v/>
      </c>
    </row>
    <row r="628">
      <c r="U628">
        <f>IF(selection!H625=1,selection!M625,NA())</f>
        <v/>
      </c>
      <c r="V628">
        <f>IF(selection!H625=1,selection!N625,NA())</f>
        <v/>
      </c>
      <c r="W628">
        <f>IF(selection!H625=0,selection!M625,NA())</f>
        <v/>
      </c>
      <c r="X628">
        <f>IF(selection!H625=0,selection!N625,NA())</f>
        <v/>
      </c>
    </row>
    <row r="629">
      <c r="U629">
        <f>IF(selection!H626=1,selection!M626,NA())</f>
        <v/>
      </c>
      <c r="V629">
        <f>IF(selection!H626=1,selection!N626,NA())</f>
        <v/>
      </c>
      <c r="W629">
        <f>IF(selection!H626=0,selection!M626,NA())</f>
        <v/>
      </c>
      <c r="X629">
        <f>IF(selection!H626=0,selection!N626,NA())</f>
        <v/>
      </c>
    </row>
    <row r="630">
      <c r="U630">
        <f>IF(selection!H627=1,selection!M627,NA())</f>
        <v/>
      </c>
      <c r="V630">
        <f>IF(selection!H627=1,selection!N627,NA())</f>
        <v/>
      </c>
      <c r="W630">
        <f>IF(selection!H627=0,selection!M627,NA())</f>
        <v/>
      </c>
      <c r="X630">
        <f>IF(selection!H627=0,selection!N627,NA())</f>
        <v/>
      </c>
    </row>
    <row r="631">
      <c r="U631">
        <f>IF(selection!H628=1,selection!M628,NA())</f>
        <v/>
      </c>
      <c r="V631">
        <f>IF(selection!H628=1,selection!N628,NA())</f>
        <v/>
      </c>
      <c r="W631">
        <f>IF(selection!H628=0,selection!M628,NA())</f>
        <v/>
      </c>
      <c r="X631">
        <f>IF(selection!H628=0,selection!N628,NA())</f>
        <v/>
      </c>
    </row>
    <row r="632">
      <c r="U632">
        <f>IF(selection!H629=1,selection!M629,NA())</f>
        <v/>
      </c>
      <c r="V632">
        <f>IF(selection!H629=1,selection!N629,NA())</f>
        <v/>
      </c>
      <c r="W632">
        <f>IF(selection!H629=0,selection!M629,NA())</f>
        <v/>
      </c>
      <c r="X632">
        <f>IF(selection!H629=0,selection!N629,NA())</f>
        <v/>
      </c>
    </row>
    <row r="633">
      <c r="U633">
        <f>IF(selection!H630=1,selection!M630,NA())</f>
        <v/>
      </c>
      <c r="V633">
        <f>IF(selection!H630=1,selection!N630,NA())</f>
        <v/>
      </c>
      <c r="W633">
        <f>IF(selection!H630=0,selection!M630,NA())</f>
        <v/>
      </c>
      <c r="X633">
        <f>IF(selection!H630=0,selection!N630,NA())</f>
        <v/>
      </c>
    </row>
    <row r="634">
      <c r="U634">
        <f>IF(selection!H631=1,selection!M631,NA())</f>
        <v/>
      </c>
      <c r="V634">
        <f>IF(selection!H631=1,selection!N631,NA())</f>
        <v/>
      </c>
      <c r="W634">
        <f>IF(selection!H631=0,selection!M631,NA())</f>
        <v/>
      </c>
      <c r="X634">
        <f>IF(selection!H631=0,selection!N631,NA())</f>
        <v/>
      </c>
    </row>
    <row r="635">
      <c r="U635">
        <f>IF(selection!H632=1,selection!M632,NA())</f>
        <v/>
      </c>
      <c r="V635">
        <f>IF(selection!H632=1,selection!N632,NA())</f>
        <v/>
      </c>
      <c r="W635">
        <f>IF(selection!H632=0,selection!M632,NA())</f>
        <v/>
      </c>
      <c r="X635">
        <f>IF(selection!H632=0,selection!N632,NA())</f>
        <v/>
      </c>
    </row>
    <row r="636">
      <c r="U636">
        <f>IF(selection!H633=1,selection!M633,NA())</f>
        <v/>
      </c>
      <c r="V636">
        <f>IF(selection!H633=1,selection!N633,NA())</f>
        <v/>
      </c>
      <c r="W636">
        <f>IF(selection!H633=0,selection!M633,NA())</f>
        <v/>
      </c>
      <c r="X636">
        <f>IF(selection!H633=0,selection!N633,NA())</f>
        <v/>
      </c>
    </row>
    <row r="637">
      <c r="U637">
        <f>IF(selection!H634=1,selection!M634,NA())</f>
        <v/>
      </c>
      <c r="V637">
        <f>IF(selection!H634=1,selection!N634,NA())</f>
        <v/>
      </c>
      <c r="W637">
        <f>IF(selection!H634=0,selection!M634,NA())</f>
        <v/>
      </c>
      <c r="X637">
        <f>IF(selection!H634=0,selection!N634,NA())</f>
        <v/>
      </c>
    </row>
    <row r="638">
      <c r="U638">
        <f>IF(selection!H635=1,selection!M635,NA())</f>
        <v/>
      </c>
      <c r="V638">
        <f>IF(selection!H635=1,selection!N635,NA())</f>
        <v/>
      </c>
      <c r="W638">
        <f>IF(selection!H635=0,selection!M635,NA())</f>
        <v/>
      </c>
      <c r="X638">
        <f>IF(selection!H635=0,selection!N635,NA())</f>
        <v/>
      </c>
    </row>
    <row r="639">
      <c r="U639">
        <f>IF(selection!H636=1,selection!M636,NA())</f>
        <v/>
      </c>
      <c r="V639">
        <f>IF(selection!H636=1,selection!N636,NA())</f>
        <v/>
      </c>
      <c r="W639">
        <f>IF(selection!H636=0,selection!M636,NA())</f>
        <v/>
      </c>
      <c r="X639">
        <f>IF(selection!H636=0,selection!N636,NA())</f>
        <v/>
      </c>
    </row>
    <row r="640">
      <c r="U640">
        <f>IF(selection!H637=1,selection!M637,NA())</f>
        <v/>
      </c>
      <c r="V640">
        <f>IF(selection!H637=1,selection!N637,NA())</f>
        <v/>
      </c>
      <c r="W640">
        <f>IF(selection!H637=0,selection!M637,NA())</f>
        <v/>
      </c>
      <c r="X640">
        <f>IF(selection!H637=0,selection!N637,NA())</f>
        <v/>
      </c>
    </row>
    <row r="641">
      <c r="U641">
        <f>IF(selection!H638=1,selection!M638,NA())</f>
        <v/>
      </c>
      <c r="V641">
        <f>IF(selection!H638=1,selection!N638,NA())</f>
        <v/>
      </c>
      <c r="W641">
        <f>IF(selection!H638=0,selection!M638,NA())</f>
        <v/>
      </c>
      <c r="X641">
        <f>IF(selection!H638=0,selection!N638,NA())</f>
        <v/>
      </c>
    </row>
    <row r="642">
      <c r="U642">
        <f>IF(selection!H639=1,selection!M639,NA())</f>
        <v/>
      </c>
      <c r="V642">
        <f>IF(selection!H639=1,selection!N639,NA())</f>
        <v/>
      </c>
      <c r="W642">
        <f>IF(selection!H639=0,selection!M639,NA())</f>
        <v/>
      </c>
      <c r="X642">
        <f>IF(selection!H639=0,selection!N639,NA())</f>
        <v/>
      </c>
    </row>
    <row r="643">
      <c r="U643">
        <f>IF(selection!H640=1,selection!M640,NA())</f>
        <v/>
      </c>
      <c r="V643">
        <f>IF(selection!H640=1,selection!N640,NA())</f>
        <v/>
      </c>
      <c r="W643">
        <f>IF(selection!H640=0,selection!M640,NA())</f>
        <v/>
      </c>
      <c r="X643">
        <f>IF(selection!H640=0,selection!N640,NA())</f>
        <v/>
      </c>
    </row>
    <row r="644">
      <c r="U644">
        <f>IF(selection!H641=1,selection!M641,NA())</f>
        <v/>
      </c>
      <c r="V644">
        <f>IF(selection!H641=1,selection!N641,NA())</f>
        <v/>
      </c>
      <c r="W644">
        <f>IF(selection!H641=0,selection!M641,NA())</f>
        <v/>
      </c>
      <c r="X644">
        <f>IF(selection!H641=0,selection!N641,NA())</f>
        <v/>
      </c>
    </row>
    <row r="645">
      <c r="U645">
        <f>IF(selection!H642=1,selection!M642,NA())</f>
        <v/>
      </c>
      <c r="V645">
        <f>IF(selection!H642=1,selection!N642,NA())</f>
        <v/>
      </c>
      <c r="W645">
        <f>IF(selection!H642=0,selection!M642,NA())</f>
        <v/>
      </c>
      <c r="X645">
        <f>IF(selection!H642=0,selection!N642,NA())</f>
        <v/>
      </c>
    </row>
    <row r="646">
      <c r="U646">
        <f>IF(selection!H643=1,selection!M643,NA())</f>
        <v/>
      </c>
      <c r="V646">
        <f>IF(selection!H643=1,selection!N643,NA())</f>
        <v/>
      </c>
      <c r="W646">
        <f>IF(selection!H643=0,selection!M643,NA())</f>
        <v/>
      </c>
      <c r="X646">
        <f>IF(selection!H643=0,selection!N643,NA())</f>
        <v/>
      </c>
    </row>
    <row r="647">
      <c r="U647">
        <f>IF(selection!H644=1,selection!M644,NA())</f>
        <v/>
      </c>
      <c r="V647">
        <f>IF(selection!H644=1,selection!N644,NA())</f>
        <v/>
      </c>
      <c r="W647">
        <f>IF(selection!H644=0,selection!M644,NA())</f>
        <v/>
      </c>
      <c r="X647">
        <f>IF(selection!H644=0,selection!N644,NA())</f>
        <v/>
      </c>
    </row>
    <row r="648">
      <c r="U648">
        <f>IF(selection!H645=1,selection!M645,NA())</f>
        <v/>
      </c>
      <c r="V648">
        <f>IF(selection!H645=1,selection!N645,NA())</f>
        <v/>
      </c>
      <c r="W648">
        <f>IF(selection!H645=0,selection!M645,NA())</f>
        <v/>
      </c>
      <c r="X648">
        <f>IF(selection!H645=0,selection!N645,NA())</f>
        <v/>
      </c>
    </row>
    <row r="649">
      <c r="U649">
        <f>IF(selection!H646=1,selection!M646,NA())</f>
        <v/>
      </c>
      <c r="V649">
        <f>IF(selection!H646=1,selection!N646,NA())</f>
        <v/>
      </c>
      <c r="W649">
        <f>IF(selection!H646=0,selection!M646,NA())</f>
        <v/>
      </c>
      <c r="X649">
        <f>IF(selection!H646=0,selection!N646,NA())</f>
        <v/>
      </c>
    </row>
    <row r="650">
      <c r="U650">
        <f>IF(selection!H647=1,selection!M647,NA())</f>
        <v/>
      </c>
      <c r="V650">
        <f>IF(selection!H647=1,selection!N647,NA())</f>
        <v/>
      </c>
      <c r="W650">
        <f>IF(selection!H647=0,selection!M647,NA())</f>
        <v/>
      </c>
      <c r="X650">
        <f>IF(selection!H647=0,selection!N647,NA())</f>
        <v/>
      </c>
    </row>
    <row r="651">
      <c r="U651">
        <f>IF(selection!H648=1,selection!M648,NA())</f>
        <v/>
      </c>
      <c r="V651">
        <f>IF(selection!H648=1,selection!N648,NA())</f>
        <v/>
      </c>
      <c r="W651">
        <f>IF(selection!H648=0,selection!M648,NA())</f>
        <v/>
      </c>
      <c r="X651">
        <f>IF(selection!H648=0,selection!N648,NA())</f>
        <v/>
      </c>
    </row>
    <row r="652">
      <c r="U652">
        <f>IF(selection!H649=1,selection!M649,NA())</f>
        <v/>
      </c>
      <c r="V652">
        <f>IF(selection!H649=1,selection!N649,NA())</f>
        <v/>
      </c>
      <c r="W652">
        <f>IF(selection!H649=0,selection!M649,NA())</f>
        <v/>
      </c>
      <c r="X652">
        <f>IF(selection!H649=0,selection!N649,NA())</f>
        <v/>
      </c>
    </row>
    <row r="653">
      <c r="U653">
        <f>IF(selection!H650=1,selection!M650,NA())</f>
        <v/>
      </c>
      <c r="V653">
        <f>IF(selection!H650=1,selection!N650,NA())</f>
        <v/>
      </c>
      <c r="W653">
        <f>IF(selection!H650=0,selection!M650,NA())</f>
        <v/>
      </c>
      <c r="X653">
        <f>IF(selection!H650=0,selection!N650,NA())</f>
        <v/>
      </c>
    </row>
    <row r="654">
      <c r="U654">
        <f>IF(selection!H651=1,selection!M651,NA())</f>
        <v/>
      </c>
      <c r="V654">
        <f>IF(selection!H651=1,selection!N651,NA())</f>
        <v/>
      </c>
      <c r="W654">
        <f>IF(selection!H651=0,selection!M651,NA())</f>
        <v/>
      </c>
      <c r="X654">
        <f>IF(selection!H651=0,selection!N651,NA())</f>
        <v/>
      </c>
    </row>
    <row r="655">
      <c r="U655">
        <f>IF(selection!H652=1,selection!M652,NA())</f>
        <v/>
      </c>
      <c r="V655">
        <f>IF(selection!H652=1,selection!N652,NA())</f>
        <v/>
      </c>
      <c r="W655">
        <f>IF(selection!H652=0,selection!M652,NA())</f>
        <v/>
      </c>
      <c r="X655">
        <f>IF(selection!H652=0,selection!N652,NA())</f>
        <v/>
      </c>
    </row>
    <row r="656">
      <c r="U656">
        <f>IF(selection!H653=1,selection!M653,NA())</f>
        <v/>
      </c>
      <c r="V656">
        <f>IF(selection!H653=1,selection!N653,NA())</f>
        <v/>
      </c>
      <c r="W656">
        <f>IF(selection!H653=0,selection!M653,NA())</f>
        <v/>
      </c>
      <c r="X656">
        <f>IF(selection!H653=0,selection!N653,NA())</f>
        <v/>
      </c>
    </row>
    <row r="657">
      <c r="U657">
        <f>IF(selection!H654=1,selection!M654,NA())</f>
        <v/>
      </c>
      <c r="V657">
        <f>IF(selection!H654=1,selection!N654,NA())</f>
        <v/>
      </c>
      <c r="W657">
        <f>IF(selection!H654=0,selection!M654,NA())</f>
        <v/>
      </c>
      <c r="X657">
        <f>IF(selection!H654=0,selection!N654,NA())</f>
        <v/>
      </c>
    </row>
    <row r="658">
      <c r="U658">
        <f>IF(selection!H655=1,selection!M655,NA())</f>
        <v/>
      </c>
      <c r="V658">
        <f>IF(selection!H655=1,selection!N655,NA())</f>
        <v/>
      </c>
      <c r="W658">
        <f>IF(selection!H655=0,selection!M655,NA())</f>
        <v/>
      </c>
      <c r="X658">
        <f>IF(selection!H655=0,selection!N655,NA())</f>
        <v/>
      </c>
    </row>
    <row r="659">
      <c r="U659">
        <f>IF(selection!H656=1,selection!M656,NA())</f>
        <v/>
      </c>
      <c r="V659">
        <f>IF(selection!H656=1,selection!N656,NA())</f>
        <v/>
      </c>
      <c r="W659">
        <f>IF(selection!H656=0,selection!M656,NA())</f>
        <v/>
      </c>
      <c r="X659">
        <f>IF(selection!H656=0,selection!N656,NA())</f>
        <v/>
      </c>
    </row>
    <row r="660">
      <c r="U660">
        <f>IF(selection!H657=1,selection!M657,NA())</f>
        <v/>
      </c>
      <c r="V660">
        <f>IF(selection!H657=1,selection!N657,NA())</f>
        <v/>
      </c>
      <c r="W660">
        <f>IF(selection!H657=0,selection!M657,NA())</f>
        <v/>
      </c>
      <c r="X660">
        <f>IF(selection!H657=0,selection!N657,NA())</f>
        <v/>
      </c>
    </row>
    <row r="661">
      <c r="U661">
        <f>IF(selection!H658=1,selection!M658,NA())</f>
        <v/>
      </c>
      <c r="V661">
        <f>IF(selection!H658=1,selection!N658,NA())</f>
        <v/>
      </c>
      <c r="W661">
        <f>IF(selection!H658=0,selection!M658,NA())</f>
        <v/>
      </c>
      <c r="X661">
        <f>IF(selection!H658=0,selection!N658,NA())</f>
        <v/>
      </c>
    </row>
    <row r="662">
      <c r="U662">
        <f>IF(selection!H659=1,selection!M659,NA())</f>
        <v/>
      </c>
      <c r="V662">
        <f>IF(selection!H659=1,selection!N659,NA())</f>
        <v/>
      </c>
      <c r="W662">
        <f>IF(selection!H659=0,selection!M659,NA())</f>
        <v/>
      </c>
      <c r="X662">
        <f>IF(selection!H659=0,selection!N659,NA())</f>
        <v/>
      </c>
    </row>
    <row r="663">
      <c r="U663">
        <f>IF(selection!H660=1,selection!M660,NA())</f>
        <v/>
      </c>
      <c r="V663">
        <f>IF(selection!H660=1,selection!N660,NA())</f>
        <v/>
      </c>
      <c r="W663">
        <f>IF(selection!H660=0,selection!M660,NA())</f>
        <v/>
      </c>
      <c r="X663">
        <f>IF(selection!H660=0,selection!N660,NA())</f>
        <v/>
      </c>
    </row>
    <row r="664">
      <c r="U664">
        <f>IF(selection!H661=1,selection!M661,NA())</f>
        <v/>
      </c>
      <c r="V664">
        <f>IF(selection!H661=1,selection!N661,NA())</f>
        <v/>
      </c>
      <c r="W664">
        <f>IF(selection!H661=0,selection!M661,NA())</f>
        <v/>
      </c>
      <c r="X664">
        <f>IF(selection!H661=0,selection!N661,NA())</f>
        <v/>
      </c>
    </row>
    <row r="665">
      <c r="U665">
        <f>IF(selection!H662=1,selection!M662,NA())</f>
        <v/>
      </c>
      <c r="V665">
        <f>IF(selection!H662=1,selection!N662,NA())</f>
        <v/>
      </c>
      <c r="W665">
        <f>IF(selection!H662=0,selection!M662,NA())</f>
        <v/>
      </c>
      <c r="X665">
        <f>IF(selection!H662=0,selection!N662,NA())</f>
        <v/>
      </c>
    </row>
    <row r="666">
      <c r="U666">
        <f>IF(selection!H663=1,selection!M663,NA())</f>
        <v/>
      </c>
      <c r="V666">
        <f>IF(selection!H663=1,selection!N663,NA())</f>
        <v/>
      </c>
      <c r="W666">
        <f>IF(selection!H663=0,selection!M663,NA())</f>
        <v/>
      </c>
      <c r="X666">
        <f>IF(selection!H663=0,selection!N663,NA())</f>
        <v/>
      </c>
    </row>
    <row r="667">
      <c r="U667">
        <f>IF(selection!H664=1,selection!M664,NA())</f>
        <v/>
      </c>
      <c r="V667">
        <f>IF(selection!H664=1,selection!N664,NA())</f>
        <v/>
      </c>
      <c r="W667">
        <f>IF(selection!H664=0,selection!M664,NA())</f>
        <v/>
      </c>
      <c r="X667">
        <f>IF(selection!H664=0,selection!N664,NA())</f>
        <v/>
      </c>
    </row>
    <row r="668">
      <c r="U668">
        <f>IF(selection!H665=1,selection!M665,NA())</f>
        <v/>
      </c>
      <c r="V668">
        <f>IF(selection!H665=1,selection!N665,NA())</f>
        <v/>
      </c>
      <c r="W668">
        <f>IF(selection!H665=0,selection!M665,NA())</f>
        <v/>
      </c>
      <c r="X668">
        <f>IF(selection!H665=0,selection!N665,NA())</f>
        <v/>
      </c>
    </row>
    <row r="669">
      <c r="U669">
        <f>IF(selection!H666=1,selection!M666,NA())</f>
        <v/>
      </c>
      <c r="V669">
        <f>IF(selection!H666=1,selection!N666,NA())</f>
        <v/>
      </c>
      <c r="W669">
        <f>IF(selection!H666=0,selection!M666,NA())</f>
        <v/>
      </c>
      <c r="X669">
        <f>IF(selection!H666=0,selection!N666,NA())</f>
        <v/>
      </c>
    </row>
    <row r="670">
      <c r="U670">
        <f>IF(selection!H667=1,selection!M667,NA())</f>
        <v/>
      </c>
      <c r="V670">
        <f>IF(selection!H667=1,selection!N667,NA())</f>
        <v/>
      </c>
      <c r="W670">
        <f>IF(selection!H667=0,selection!M667,NA())</f>
        <v/>
      </c>
      <c r="X670">
        <f>IF(selection!H667=0,selection!N667,NA())</f>
        <v/>
      </c>
    </row>
    <row r="671">
      <c r="U671">
        <f>IF(selection!H668=1,selection!M668,NA())</f>
        <v/>
      </c>
      <c r="V671">
        <f>IF(selection!H668=1,selection!N668,NA())</f>
        <v/>
      </c>
      <c r="W671">
        <f>IF(selection!H668=0,selection!M668,NA())</f>
        <v/>
      </c>
      <c r="X671">
        <f>IF(selection!H668=0,selection!N668,NA())</f>
        <v/>
      </c>
    </row>
    <row r="672">
      <c r="U672">
        <f>IF(selection!H669=1,selection!M669,NA())</f>
        <v/>
      </c>
      <c r="V672">
        <f>IF(selection!H669=1,selection!N669,NA())</f>
        <v/>
      </c>
      <c r="W672">
        <f>IF(selection!H669=0,selection!M669,NA())</f>
        <v/>
      </c>
      <c r="X672">
        <f>IF(selection!H669=0,selection!N669,NA())</f>
        <v/>
      </c>
    </row>
    <row r="673">
      <c r="U673">
        <f>IF(selection!H670=1,selection!M670,NA())</f>
        <v/>
      </c>
      <c r="V673">
        <f>IF(selection!H670=1,selection!N670,NA())</f>
        <v/>
      </c>
      <c r="W673">
        <f>IF(selection!H670=0,selection!M670,NA())</f>
        <v/>
      </c>
      <c r="X673">
        <f>IF(selection!H670=0,selection!N670,NA())</f>
        <v/>
      </c>
    </row>
    <row r="674">
      <c r="U674">
        <f>IF(selection!H671=1,selection!M671,NA())</f>
        <v/>
      </c>
      <c r="V674">
        <f>IF(selection!H671=1,selection!N671,NA())</f>
        <v/>
      </c>
      <c r="W674">
        <f>IF(selection!H671=0,selection!M671,NA())</f>
        <v/>
      </c>
      <c r="X674">
        <f>IF(selection!H671=0,selection!N671,NA())</f>
        <v/>
      </c>
    </row>
    <row r="675">
      <c r="U675">
        <f>IF(selection!H672=1,selection!M672,NA())</f>
        <v/>
      </c>
      <c r="V675">
        <f>IF(selection!H672=1,selection!N672,NA())</f>
        <v/>
      </c>
      <c r="W675">
        <f>IF(selection!H672=0,selection!M672,NA())</f>
        <v/>
      </c>
      <c r="X675">
        <f>IF(selection!H672=0,selection!N672,NA())</f>
        <v/>
      </c>
    </row>
    <row r="676">
      <c r="U676">
        <f>IF(selection!H673=1,selection!M673,NA())</f>
        <v/>
      </c>
      <c r="V676">
        <f>IF(selection!H673=1,selection!N673,NA())</f>
        <v/>
      </c>
      <c r="W676">
        <f>IF(selection!H673=0,selection!M673,NA())</f>
        <v/>
      </c>
      <c r="X676">
        <f>IF(selection!H673=0,selection!N673,NA())</f>
        <v/>
      </c>
    </row>
    <row r="677">
      <c r="U677">
        <f>IF(selection!H674=1,selection!M674,NA())</f>
        <v/>
      </c>
      <c r="V677">
        <f>IF(selection!H674=1,selection!N674,NA())</f>
        <v/>
      </c>
      <c r="W677">
        <f>IF(selection!H674=0,selection!M674,NA())</f>
        <v/>
      </c>
      <c r="X677">
        <f>IF(selection!H674=0,selection!N674,NA())</f>
        <v/>
      </c>
    </row>
    <row r="678">
      <c r="U678">
        <f>IF(selection!H675=1,selection!M675,NA())</f>
        <v/>
      </c>
      <c r="V678">
        <f>IF(selection!H675=1,selection!N675,NA())</f>
        <v/>
      </c>
      <c r="W678">
        <f>IF(selection!H675=0,selection!M675,NA())</f>
        <v/>
      </c>
      <c r="X678">
        <f>IF(selection!H675=0,selection!N675,NA())</f>
        <v/>
      </c>
    </row>
    <row r="679">
      <c r="U679">
        <f>IF(selection!H676=1,selection!M676,NA())</f>
        <v/>
      </c>
      <c r="V679">
        <f>IF(selection!H676=1,selection!N676,NA())</f>
        <v/>
      </c>
      <c r="W679">
        <f>IF(selection!H676=0,selection!M676,NA())</f>
        <v/>
      </c>
      <c r="X679">
        <f>IF(selection!H676=0,selection!N676,NA())</f>
        <v/>
      </c>
    </row>
    <row r="680">
      <c r="U680">
        <f>IF(selection!H677=1,selection!M677,NA())</f>
        <v/>
      </c>
      <c r="V680">
        <f>IF(selection!H677=1,selection!N677,NA())</f>
        <v/>
      </c>
      <c r="W680">
        <f>IF(selection!H677=0,selection!M677,NA())</f>
        <v/>
      </c>
      <c r="X680">
        <f>IF(selection!H677=0,selection!N677,NA())</f>
        <v/>
      </c>
    </row>
    <row r="681">
      <c r="U681">
        <f>IF(selection!H678=1,selection!M678,NA())</f>
        <v/>
      </c>
      <c r="V681">
        <f>IF(selection!H678=1,selection!N678,NA())</f>
        <v/>
      </c>
      <c r="W681">
        <f>IF(selection!H678=0,selection!M678,NA())</f>
        <v/>
      </c>
      <c r="X681">
        <f>IF(selection!H678=0,selection!N678,NA())</f>
        <v/>
      </c>
    </row>
    <row r="682">
      <c r="U682">
        <f>IF(selection!H679=1,selection!M679,NA())</f>
        <v/>
      </c>
      <c r="V682">
        <f>IF(selection!H679=1,selection!N679,NA())</f>
        <v/>
      </c>
      <c r="W682">
        <f>IF(selection!H679=0,selection!M679,NA())</f>
        <v/>
      </c>
      <c r="X682">
        <f>IF(selection!H679=0,selection!N679,NA())</f>
        <v/>
      </c>
    </row>
    <row r="683">
      <c r="U683">
        <f>IF(selection!H680=1,selection!M680,NA())</f>
        <v/>
      </c>
      <c r="V683">
        <f>IF(selection!H680=1,selection!N680,NA())</f>
        <v/>
      </c>
      <c r="W683">
        <f>IF(selection!H680=0,selection!M680,NA())</f>
        <v/>
      </c>
      <c r="X683">
        <f>IF(selection!H680=0,selection!N680,NA())</f>
        <v/>
      </c>
    </row>
    <row r="684">
      <c r="U684">
        <f>IF(selection!H681=1,selection!M681,NA())</f>
        <v/>
      </c>
      <c r="V684">
        <f>IF(selection!H681=1,selection!N681,NA())</f>
        <v/>
      </c>
      <c r="W684">
        <f>IF(selection!H681=0,selection!M681,NA())</f>
        <v/>
      </c>
      <c r="X684">
        <f>IF(selection!H681=0,selection!N681,NA())</f>
        <v/>
      </c>
    </row>
    <row r="685">
      <c r="U685">
        <f>IF(selection!H682=1,selection!M682,NA())</f>
        <v/>
      </c>
      <c r="V685">
        <f>IF(selection!H682=1,selection!N682,NA())</f>
        <v/>
      </c>
      <c r="W685">
        <f>IF(selection!H682=0,selection!M682,NA())</f>
        <v/>
      </c>
      <c r="X685">
        <f>IF(selection!H682=0,selection!N682,NA())</f>
        <v/>
      </c>
    </row>
    <row r="686">
      <c r="U686">
        <f>IF(selection!H683=1,selection!M683,NA())</f>
        <v/>
      </c>
      <c r="V686">
        <f>IF(selection!H683=1,selection!N683,NA())</f>
        <v/>
      </c>
      <c r="W686">
        <f>IF(selection!H683=0,selection!M683,NA())</f>
        <v/>
      </c>
      <c r="X686">
        <f>IF(selection!H683=0,selection!N683,NA())</f>
        <v/>
      </c>
    </row>
    <row r="687">
      <c r="U687">
        <f>IF(selection!H684=1,selection!M684,NA())</f>
        <v/>
      </c>
      <c r="V687">
        <f>IF(selection!H684=1,selection!N684,NA())</f>
        <v/>
      </c>
      <c r="W687">
        <f>IF(selection!H684=0,selection!M684,NA())</f>
        <v/>
      </c>
      <c r="X687">
        <f>IF(selection!H684=0,selection!N684,NA())</f>
        <v/>
      </c>
    </row>
    <row r="688">
      <c r="U688">
        <f>IF(selection!H685=1,selection!M685,NA())</f>
        <v/>
      </c>
      <c r="V688">
        <f>IF(selection!H685=1,selection!N685,NA())</f>
        <v/>
      </c>
      <c r="W688">
        <f>IF(selection!H685=0,selection!M685,NA())</f>
        <v/>
      </c>
      <c r="X688">
        <f>IF(selection!H685=0,selection!N685,NA())</f>
        <v/>
      </c>
    </row>
    <row r="689">
      <c r="U689">
        <f>IF(selection!H686=1,selection!M686,NA())</f>
        <v/>
      </c>
      <c r="V689">
        <f>IF(selection!H686=1,selection!N686,NA())</f>
        <v/>
      </c>
      <c r="W689">
        <f>IF(selection!H686=0,selection!M686,NA())</f>
        <v/>
      </c>
      <c r="X689">
        <f>IF(selection!H686=0,selection!N686,NA())</f>
        <v/>
      </c>
    </row>
    <row r="690">
      <c r="U690">
        <f>IF(selection!H687=1,selection!M687,NA())</f>
        <v/>
      </c>
      <c r="V690">
        <f>IF(selection!H687=1,selection!N687,NA())</f>
        <v/>
      </c>
      <c r="W690">
        <f>IF(selection!H687=0,selection!M687,NA())</f>
        <v/>
      </c>
      <c r="X690">
        <f>IF(selection!H687=0,selection!N687,NA())</f>
        <v/>
      </c>
    </row>
    <row r="691">
      <c r="U691">
        <f>IF(selection!H688=1,selection!M688,NA())</f>
        <v/>
      </c>
      <c r="V691">
        <f>IF(selection!H688=1,selection!N688,NA())</f>
        <v/>
      </c>
      <c r="W691">
        <f>IF(selection!H688=0,selection!M688,NA())</f>
        <v/>
      </c>
      <c r="X691">
        <f>IF(selection!H688=0,selection!N688,NA())</f>
        <v/>
      </c>
    </row>
    <row r="692">
      <c r="U692">
        <f>IF(selection!H689=1,selection!M689,NA())</f>
        <v/>
      </c>
      <c r="V692">
        <f>IF(selection!H689=1,selection!N689,NA())</f>
        <v/>
      </c>
      <c r="W692">
        <f>IF(selection!H689=0,selection!M689,NA())</f>
        <v/>
      </c>
      <c r="X692">
        <f>IF(selection!H689=0,selection!N689,NA())</f>
        <v/>
      </c>
    </row>
    <row r="693">
      <c r="U693">
        <f>IF(selection!H690=1,selection!M690,NA())</f>
        <v/>
      </c>
      <c r="V693">
        <f>IF(selection!H690=1,selection!N690,NA())</f>
        <v/>
      </c>
      <c r="W693">
        <f>IF(selection!H690=0,selection!M690,NA())</f>
        <v/>
      </c>
      <c r="X693">
        <f>IF(selection!H690=0,selection!N690,NA())</f>
        <v/>
      </c>
    </row>
    <row r="694">
      <c r="U694">
        <f>IF(selection!H691=1,selection!M691,NA())</f>
        <v/>
      </c>
      <c r="V694">
        <f>IF(selection!H691=1,selection!N691,NA())</f>
        <v/>
      </c>
      <c r="W694">
        <f>IF(selection!H691=0,selection!M691,NA())</f>
        <v/>
      </c>
      <c r="X694">
        <f>IF(selection!H691=0,selection!N691,NA())</f>
        <v/>
      </c>
    </row>
    <row r="695">
      <c r="U695">
        <f>IF(selection!H692=1,selection!M692,NA())</f>
        <v/>
      </c>
      <c r="V695">
        <f>IF(selection!H692=1,selection!N692,NA())</f>
        <v/>
      </c>
      <c r="W695">
        <f>IF(selection!H692=0,selection!M692,NA())</f>
        <v/>
      </c>
      <c r="X695">
        <f>IF(selection!H692=0,selection!N692,NA())</f>
        <v/>
      </c>
    </row>
    <row r="696">
      <c r="U696">
        <f>IF(selection!H693=1,selection!M693,NA())</f>
        <v/>
      </c>
      <c r="V696">
        <f>IF(selection!H693=1,selection!N693,NA())</f>
        <v/>
      </c>
      <c r="W696">
        <f>IF(selection!H693=0,selection!M693,NA())</f>
        <v/>
      </c>
      <c r="X696">
        <f>IF(selection!H693=0,selection!N693,NA())</f>
        <v/>
      </c>
    </row>
    <row r="697">
      <c r="U697">
        <f>IF(selection!H694=1,selection!M694,NA())</f>
        <v/>
      </c>
      <c r="V697">
        <f>IF(selection!H694=1,selection!N694,NA())</f>
        <v/>
      </c>
      <c r="W697">
        <f>IF(selection!H694=0,selection!M694,NA())</f>
        <v/>
      </c>
      <c r="X697">
        <f>IF(selection!H694=0,selection!N694,NA())</f>
        <v/>
      </c>
    </row>
    <row r="698">
      <c r="U698">
        <f>IF(selection!H695=1,selection!M695,NA())</f>
        <v/>
      </c>
      <c r="V698">
        <f>IF(selection!H695=1,selection!N695,NA())</f>
        <v/>
      </c>
      <c r="W698">
        <f>IF(selection!H695=0,selection!M695,NA())</f>
        <v/>
      </c>
      <c r="X698">
        <f>IF(selection!H695=0,selection!N695,NA())</f>
        <v/>
      </c>
    </row>
    <row r="699">
      <c r="U699">
        <f>IF(selection!H696=1,selection!M696,NA())</f>
        <v/>
      </c>
      <c r="V699">
        <f>IF(selection!H696=1,selection!N696,NA())</f>
        <v/>
      </c>
      <c r="W699">
        <f>IF(selection!H696=0,selection!M696,NA())</f>
        <v/>
      </c>
      <c r="X699">
        <f>IF(selection!H696=0,selection!N696,NA())</f>
        <v/>
      </c>
    </row>
    <row r="700">
      <c r="U700">
        <f>IF(selection!H697=1,selection!M697,NA())</f>
        <v/>
      </c>
      <c r="V700">
        <f>IF(selection!H697=1,selection!N697,NA())</f>
        <v/>
      </c>
      <c r="W700">
        <f>IF(selection!H697=0,selection!M697,NA())</f>
        <v/>
      </c>
      <c r="X700">
        <f>IF(selection!H697=0,selection!N697,NA())</f>
        <v/>
      </c>
    </row>
    <row r="701">
      <c r="U701">
        <f>IF(selection!H698=1,selection!M698,NA())</f>
        <v/>
      </c>
      <c r="V701">
        <f>IF(selection!H698=1,selection!N698,NA())</f>
        <v/>
      </c>
      <c r="W701">
        <f>IF(selection!H698=0,selection!M698,NA())</f>
        <v/>
      </c>
      <c r="X701">
        <f>IF(selection!H698=0,selection!N698,NA())</f>
        <v/>
      </c>
    </row>
    <row r="702">
      <c r="U702">
        <f>IF(selection!H699=1,selection!M699,NA())</f>
        <v/>
      </c>
      <c r="V702">
        <f>IF(selection!H699=1,selection!N699,NA())</f>
        <v/>
      </c>
      <c r="W702">
        <f>IF(selection!H699=0,selection!M699,NA())</f>
        <v/>
      </c>
      <c r="X702">
        <f>IF(selection!H699=0,selection!N699,NA())</f>
        <v/>
      </c>
    </row>
    <row r="703">
      <c r="U703">
        <f>IF(selection!H700=1,selection!M700,NA())</f>
        <v/>
      </c>
      <c r="V703">
        <f>IF(selection!H700=1,selection!N700,NA())</f>
        <v/>
      </c>
      <c r="W703">
        <f>IF(selection!H700=0,selection!M700,NA())</f>
        <v/>
      </c>
      <c r="X703">
        <f>IF(selection!H700=0,selection!N700,NA())</f>
        <v/>
      </c>
    </row>
    <row r="704">
      <c r="U704">
        <f>IF(selection!H701=1,selection!M701,NA())</f>
        <v/>
      </c>
      <c r="V704">
        <f>IF(selection!H701=1,selection!N701,NA())</f>
        <v/>
      </c>
      <c r="W704">
        <f>IF(selection!H701=0,selection!M701,NA())</f>
        <v/>
      </c>
      <c r="X704">
        <f>IF(selection!H701=0,selection!N701,NA())</f>
        <v/>
      </c>
    </row>
    <row r="705">
      <c r="U705">
        <f>IF(selection!H702=1,selection!M702,NA())</f>
        <v/>
      </c>
      <c r="V705">
        <f>IF(selection!H702=1,selection!N702,NA())</f>
        <v/>
      </c>
      <c r="W705">
        <f>IF(selection!H702=0,selection!M702,NA())</f>
        <v/>
      </c>
      <c r="X705">
        <f>IF(selection!H702=0,selection!N702,NA())</f>
        <v/>
      </c>
    </row>
    <row r="706">
      <c r="U706">
        <f>IF(selection!H703=1,selection!M703,NA())</f>
        <v/>
      </c>
      <c r="V706">
        <f>IF(selection!H703=1,selection!N703,NA())</f>
        <v/>
      </c>
      <c r="W706">
        <f>IF(selection!H703=0,selection!M703,NA())</f>
        <v/>
      </c>
      <c r="X706">
        <f>IF(selection!H703=0,selection!N703,NA())</f>
        <v/>
      </c>
    </row>
    <row r="707">
      <c r="U707">
        <f>IF(selection!H704=1,selection!M704,NA())</f>
        <v/>
      </c>
      <c r="V707">
        <f>IF(selection!H704=1,selection!N704,NA())</f>
        <v/>
      </c>
      <c r="W707">
        <f>IF(selection!H704=0,selection!M704,NA())</f>
        <v/>
      </c>
      <c r="X707">
        <f>IF(selection!H704=0,selection!N704,NA())</f>
        <v/>
      </c>
    </row>
    <row r="708">
      <c r="U708">
        <f>IF(selection!H705=1,selection!M705,NA())</f>
        <v/>
      </c>
      <c r="V708">
        <f>IF(selection!H705=1,selection!N705,NA())</f>
        <v/>
      </c>
      <c r="W708">
        <f>IF(selection!H705=0,selection!M705,NA())</f>
        <v/>
      </c>
      <c r="X708">
        <f>IF(selection!H705=0,selection!N705,NA())</f>
        <v/>
      </c>
    </row>
    <row r="709">
      <c r="U709">
        <f>IF(selection!H706=1,selection!M706,NA())</f>
        <v/>
      </c>
      <c r="V709">
        <f>IF(selection!H706=1,selection!N706,NA())</f>
        <v/>
      </c>
      <c r="W709">
        <f>IF(selection!H706=0,selection!M706,NA())</f>
        <v/>
      </c>
      <c r="X709">
        <f>IF(selection!H706=0,selection!N706,NA())</f>
        <v/>
      </c>
    </row>
    <row r="710">
      <c r="U710">
        <f>IF(selection!H707=1,selection!M707,NA())</f>
        <v/>
      </c>
      <c r="V710">
        <f>IF(selection!H707=1,selection!N707,NA())</f>
        <v/>
      </c>
      <c r="W710">
        <f>IF(selection!H707=0,selection!M707,NA())</f>
        <v/>
      </c>
      <c r="X710">
        <f>IF(selection!H707=0,selection!N707,NA())</f>
        <v/>
      </c>
    </row>
    <row r="711">
      <c r="U711">
        <f>IF(selection!H708=1,selection!M708,NA())</f>
        <v/>
      </c>
      <c r="V711">
        <f>IF(selection!H708=1,selection!N708,NA())</f>
        <v/>
      </c>
      <c r="W711">
        <f>IF(selection!H708=0,selection!M708,NA())</f>
        <v/>
      </c>
      <c r="X711">
        <f>IF(selection!H708=0,selection!N708,NA())</f>
        <v/>
      </c>
    </row>
    <row r="712">
      <c r="U712">
        <f>IF(selection!H709=1,selection!M709,NA())</f>
        <v/>
      </c>
      <c r="V712">
        <f>IF(selection!H709=1,selection!N709,NA())</f>
        <v/>
      </c>
      <c r="W712">
        <f>IF(selection!H709=0,selection!M709,NA())</f>
        <v/>
      </c>
      <c r="X712">
        <f>IF(selection!H709=0,selection!N709,NA())</f>
        <v/>
      </c>
    </row>
    <row r="713">
      <c r="U713">
        <f>IF(selection!H710=1,selection!M710,NA())</f>
        <v/>
      </c>
      <c r="V713">
        <f>IF(selection!H710=1,selection!N710,NA())</f>
        <v/>
      </c>
      <c r="W713">
        <f>IF(selection!H710=0,selection!M710,NA())</f>
        <v/>
      </c>
      <c r="X713">
        <f>IF(selection!H710=0,selection!N710,NA())</f>
        <v/>
      </c>
    </row>
    <row r="714">
      <c r="U714">
        <f>IF(selection!H711=1,selection!M711,NA())</f>
        <v/>
      </c>
      <c r="V714">
        <f>IF(selection!H711=1,selection!N711,NA())</f>
        <v/>
      </c>
      <c r="W714">
        <f>IF(selection!H711=0,selection!M711,NA())</f>
        <v/>
      </c>
      <c r="X714">
        <f>IF(selection!H711=0,selection!N711,NA())</f>
        <v/>
      </c>
    </row>
    <row r="715">
      <c r="U715">
        <f>IF(selection!H712=1,selection!M712,NA())</f>
        <v/>
      </c>
      <c r="V715">
        <f>IF(selection!H712=1,selection!N712,NA())</f>
        <v/>
      </c>
      <c r="W715">
        <f>IF(selection!H712=0,selection!M712,NA())</f>
        <v/>
      </c>
      <c r="X715">
        <f>IF(selection!H712=0,selection!N712,NA())</f>
        <v/>
      </c>
    </row>
    <row r="716">
      <c r="U716">
        <f>IF(selection!H713=1,selection!M713,NA())</f>
        <v/>
      </c>
      <c r="V716">
        <f>IF(selection!H713=1,selection!N713,NA())</f>
        <v/>
      </c>
      <c r="W716">
        <f>IF(selection!H713=0,selection!M713,NA())</f>
        <v/>
      </c>
      <c r="X716">
        <f>IF(selection!H713=0,selection!N713,NA())</f>
        <v/>
      </c>
    </row>
    <row r="717">
      <c r="U717">
        <f>IF(selection!H714=1,selection!M714,NA())</f>
        <v/>
      </c>
      <c r="V717">
        <f>IF(selection!H714=1,selection!N714,NA())</f>
        <v/>
      </c>
      <c r="W717">
        <f>IF(selection!H714=0,selection!M714,NA())</f>
        <v/>
      </c>
      <c r="X717">
        <f>IF(selection!H714=0,selection!N714,NA())</f>
        <v/>
      </c>
    </row>
    <row r="718">
      <c r="U718">
        <f>IF(selection!H715=1,selection!M715,NA())</f>
        <v/>
      </c>
      <c r="V718">
        <f>IF(selection!H715=1,selection!N715,NA())</f>
        <v/>
      </c>
      <c r="W718">
        <f>IF(selection!H715=0,selection!M715,NA())</f>
        <v/>
      </c>
      <c r="X718">
        <f>IF(selection!H715=0,selection!N715,NA())</f>
        <v/>
      </c>
    </row>
    <row r="719">
      <c r="U719">
        <f>IF(selection!H716=1,selection!M716,NA())</f>
        <v/>
      </c>
      <c r="V719">
        <f>IF(selection!H716=1,selection!N716,NA())</f>
        <v/>
      </c>
      <c r="W719">
        <f>IF(selection!H716=0,selection!M716,NA())</f>
        <v/>
      </c>
      <c r="X719">
        <f>IF(selection!H716=0,selection!N716,NA())</f>
        <v/>
      </c>
    </row>
    <row r="720">
      <c r="U720">
        <f>IF(selection!H717=1,selection!M717,NA())</f>
        <v/>
      </c>
      <c r="V720">
        <f>IF(selection!H717=1,selection!N717,NA())</f>
        <v/>
      </c>
      <c r="W720">
        <f>IF(selection!H717=0,selection!M717,NA())</f>
        <v/>
      </c>
      <c r="X720">
        <f>IF(selection!H717=0,selection!N717,NA())</f>
        <v/>
      </c>
    </row>
    <row r="721">
      <c r="U721">
        <f>IF(selection!H718=1,selection!M718,NA())</f>
        <v/>
      </c>
      <c r="V721">
        <f>IF(selection!H718=1,selection!N718,NA())</f>
        <v/>
      </c>
      <c r="W721">
        <f>IF(selection!H718=0,selection!M718,NA())</f>
        <v/>
      </c>
      <c r="X721">
        <f>IF(selection!H718=0,selection!N718,NA())</f>
        <v/>
      </c>
    </row>
    <row r="722">
      <c r="U722">
        <f>IF(selection!H719=1,selection!M719,NA())</f>
        <v/>
      </c>
      <c r="V722">
        <f>IF(selection!H719=1,selection!N719,NA())</f>
        <v/>
      </c>
      <c r="W722">
        <f>IF(selection!H719=0,selection!M719,NA())</f>
        <v/>
      </c>
      <c r="X722">
        <f>IF(selection!H719=0,selection!N719,NA())</f>
        <v/>
      </c>
    </row>
    <row r="723">
      <c r="U723">
        <f>IF(selection!H720=1,selection!M720,NA())</f>
        <v/>
      </c>
      <c r="V723">
        <f>IF(selection!H720=1,selection!N720,NA())</f>
        <v/>
      </c>
      <c r="W723">
        <f>IF(selection!H720=0,selection!M720,NA())</f>
        <v/>
      </c>
      <c r="X723">
        <f>IF(selection!H720=0,selection!N720,NA())</f>
        <v/>
      </c>
    </row>
    <row r="724">
      <c r="U724">
        <f>IF(selection!H721=1,selection!M721,NA())</f>
        <v/>
      </c>
      <c r="V724">
        <f>IF(selection!H721=1,selection!N721,NA())</f>
        <v/>
      </c>
      <c r="W724">
        <f>IF(selection!H721=0,selection!M721,NA())</f>
        <v/>
      </c>
      <c r="X724">
        <f>IF(selection!H721=0,selection!N721,NA())</f>
        <v/>
      </c>
    </row>
    <row r="725">
      <c r="U725">
        <f>IF(selection!H722=1,selection!M722,NA())</f>
        <v/>
      </c>
      <c r="V725">
        <f>IF(selection!H722=1,selection!N722,NA())</f>
        <v/>
      </c>
      <c r="W725">
        <f>IF(selection!H722=0,selection!M722,NA())</f>
        <v/>
      </c>
      <c r="X725">
        <f>IF(selection!H722=0,selection!N722,NA())</f>
        <v/>
      </c>
    </row>
    <row r="726">
      <c r="U726">
        <f>IF(selection!H723=1,selection!M723,NA())</f>
        <v/>
      </c>
      <c r="V726">
        <f>IF(selection!H723=1,selection!N723,NA())</f>
        <v/>
      </c>
      <c r="W726">
        <f>IF(selection!H723=0,selection!M723,NA())</f>
        <v/>
      </c>
      <c r="X726">
        <f>IF(selection!H723=0,selection!N723,NA())</f>
        <v/>
      </c>
    </row>
    <row r="727">
      <c r="U727">
        <f>IF(selection!H724=1,selection!M724,NA())</f>
        <v/>
      </c>
      <c r="V727">
        <f>IF(selection!H724=1,selection!N724,NA())</f>
        <v/>
      </c>
      <c r="W727">
        <f>IF(selection!H724=0,selection!M724,NA())</f>
        <v/>
      </c>
      <c r="X727">
        <f>IF(selection!H724=0,selection!N724,NA())</f>
        <v/>
      </c>
    </row>
    <row r="728">
      <c r="U728">
        <f>IF(selection!H725=1,selection!M725,NA())</f>
        <v/>
      </c>
      <c r="V728">
        <f>IF(selection!H725=1,selection!N725,NA())</f>
        <v/>
      </c>
      <c r="W728">
        <f>IF(selection!H725=0,selection!M725,NA())</f>
        <v/>
      </c>
      <c r="X728">
        <f>IF(selection!H725=0,selection!N725,NA())</f>
        <v/>
      </c>
    </row>
    <row r="729">
      <c r="U729">
        <f>IF(selection!H726=1,selection!M726,NA())</f>
        <v/>
      </c>
      <c r="V729">
        <f>IF(selection!H726=1,selection!N726,NA())</f>
        <v/>
      </c>
      <c r="W729">
        <f>IF(selection!H726=0,selection!M726,NA())</f>
        <v/>
      </c>
      <c r="X729">
        <f>IF(selection!H726=0,selection!N726,NA())</f>
        <v/>
      </c>
    </row>
    <row r="730">
      <c r="U730">
        <f>IF(selection!H727=1,selection!M727,NA())</f>
        <v/>
      </c>
      <c r="V730">
        <f>IF(selection!H727=1,selection!N727,NA())</f>
        <v/>
      </c>
      <c r="W730">
        <f>IF(selection!H727=0,selection!M727,NA())</f>
        <v/>
      </c>
      <c r="X730">
        <f>IF(selection!H727=0,selection!N727,NA())</f>
        <v/>
      </c>
    </row>
    <row r="731">
      <c r="U731">
        <f>IF(selection!H728=1,selection!M728,NA())</f>
        <v/>
      </c>
      <c r="V731">
        <f>IF(selection!H728=1,selection!N728,NA())</f>
        <v/>
      </c>
      <c r="W731">
        <f>IF(selection!H728=0,selection!M728,NA())</f>
        <v/>
      </c>
      <c r="X731">
        <f>IF(selection!H728=0,selection!N728,NA())</f>
        <v/>
      </c>
    </row>
    <row r="732">
      <c r="U732">
        <f>IF(selection!H729=1,selection!M729,NA())</f>
        <v/>
      </c>
      <c r="V732">
        <f>IF(selection!H729=1,selection!N729,NA())</f>
        <v/>
      </c>
      <c r="W732">
        <f>IF(selection!H729=0,selection!M729,NA())</f>
        <v/>
      </c>
      <c r="X732">
        <f>IF(selection!H729=0,selection!N729,NA())</f>
        <v/>
      </c>
    </row>
    <row r="733">
      <c r="U733">
        <f>IF(selection!H730=1,selection!M730,NA())</f>
        <v/>
      </c>
      <c r="V733">
        <f>IF(selection!H730=1,selection!N730,NA())</f>
        <v/>
      </c>
      <c r="W733">
        <f>IF(selection!H730=0,selection!M730,NA())</f>
        <v/>
      </c>
      <c r="X733">
        <f>IF(selection!H730=0,selection!N730,NA())</f>
        <v/>
      </c>
    </row>
    <row r="734">
      <c r="U734">
        <f>IF(selection!H731=1,selection!M731,NA())</f>
        <v/>
      </c>
      <c r="V734">
        <f>IF(selection!H731=1,selection!N731,NA())</f>
        <v/>
      </c>
      <c r="W734">
        <f>IF(selection!H731=0,selection!M731,NA())</f>
        <v/>
      </c>
      <c r="X734">
        <f>IF(selection!H731=0,selection!N731,NA())</f>
        <v/>
      </c>
    </row>
    <row r="735">
      <c r="U735">
        <f>IF(selection!H732=1,selection!M732,NA())</f>
        <v/>
      </c>
      <c r="V735">
        <f>IF(selection!H732=1,selection!N732,NA())</f>
        <v/>
      </c>
      <c r="W735">
        <f>IF(selection!H732=0,selection!M732,NA())</f>
        <v/>
      </c>
      <c r="X735">
        <f>IF(selection!H732=0,selection!N732,NA())</f>
        <v/>
      </c>
    </row>
    <row r="736">
      <c r="U736">
        <f>IF(selection!H733=1,selection!M733,NA())</f>
        <v/>
      </c>
      <c r="V736">
        <f>IF(selection!H733=1,selection!N733,NA())</f>
        <v/>
      </c>
      <c r="W736">
        <f>IF(selection!H733=0,selection!M733,NA())</f>
        <v/>
      </c>
      <c r="X736">
        <f>IF(selection!H733=0,selection!N733,NA())</f>
        <v/>
      </c>
    </row>
    <row r="737">
      <c r="U737">
        <f>IF(selection!H734=1,selection!M734,NA())</f>
        <v/>
      </c>
      <c r="V737">
        <f>IF(selection!H734=1,selection!N734,NA())</f>
        <v/>
      </c>
      <c r="W737">
        <f>IF(selection!H734=0,selection!M734,NA())</f>
        <v/>
      </c>
      <c r="X737">
        <f>IF(selection!H734=0,selection!N734,NA())</f>
        <v/>
      </c>
    </row>
    <row r="738">
      <c r="U738">
        <f>IF(selection!H735=1,selection!M735,NA())</f>
        <v/>
      </c>
      <c r="V738">
        <f>IF(selection!H735=1,selection!N735,NA())</f>
        <v/>
      </c>
      <c r="W738">
        <f>IF(selection!H735=0,selection!M735,NA())</f>
        <v/>
      </c>
      <c r="X738">
        <f>IF(selection!H735=0,selection!N735,NA())</f>
        <v/>
      </c>
    </row>
    <row r="739">
      <c r="U739">
        <f>IF(selection!H736=1,selection!M736,NA())</f>
        <v/>
      </c>
      <c r="V739">
        <f>IF(selection!H736=1,selection!N736,NA())</f>
        <v/>
      </c>
      <c r="W739">
        <f>IF(selection!H736=0,selection!M736,NA())</f>
        <v/>
      </c>
      <c r="X739">
        <f>IF(selection!H736=0,selection!N736,NA())</f>
        <v/>
      </c>
    </row>
    <row r="740">
      <c r="U740">
        <f>IF(selection!H737=1,selection!M737,NA())</f>
        <v/>
      </c>
      <c r="V740">
        <f>IF(selection!H737=1,selection!N737,NA())</f>
        <v/>
      </c>
      <c r="W740">
        <f>IF(selection!H737=0,selection!M737,NA())</f>
        <v/>
      </c>
      <c r="X740">
        <f>IF(selection!H737=0,selection!N737,NA())</f>
        <v/>
      </c>
    </row>
    <row r="741">
      <c r="U741">
        <f>IF(selection!H738=1,selection!M738,NA())</f>
        <v/>
      </c>
      <c r="V741">
        <f>IF(selection!H738=1,selection!N738,NA())</f>
        <v/>
      </c>
      <c r="W741">
        <f>IF(selection!H738=0,selection!M738,NA())</f>
        <v/>
      </c>
      <c r="X741">
        <f>IF(selection!H738=0,selection!N738,NA())</f>
        <v/>
      </c>
    </row>
    <row r="742">
      <c r="U742">
        <f>IF(selection!H739=1,selection!M739,NA())</f>
        <v/>
      </c>
      <c r="V742">
        <f>IF(selection!H739=1,selection!N739,NA())</f>
        <v/>
      </c>
      <c r="W742">
        <f>IF(selection!H739=0,selection!M739,NA())</f>
        <v/>
      </c>
      <c r="X742">
        <f>IF(selection!H739=0,selection!N739,NA())</f>
        <v/>
      </c>
    </row>
    <row r="743">
      <c r="U743">
        <f>IF(selection!H740=1,selection!M740,NA())</f>
        <v/>
      </c>
      <c r="V743">
        <f>IF(selection!H740=1,selection!N740,NA())</f>
        <v/>
      </c>
      <c r="W743">
        <f>IF(selection!H740=0,selection!M740,NA())</f>
        <v/>
      </c>
      <c r="X743">
        <f>IF(selection!H740=0,selection!N740,NA())</f>
        <v/>
      </c>
    </row>
    <row r="744">
      <c r="U744">
        <f>IF(selection!H741=1,selection!M741,NA())</f>
        <v/>
      </c>
      <c r="V744">
        <f>IF(selection!H741=1,selection!N741,NA())</f>
        <v/>
      </c>
      <c r="W744">
        <f>IF(selection!H741=0,selection!M741,NA())</f>
        <v/>
      </c>
      <c r="X744">
        <f>IF(selection!H741=0,selection!N741,NA())</f>
        <v/>
      </c>
    </row>
    <row r="745">
      <c r="U745">
        <f>IF(selection!H742=1,selection!M742,NA())</f>
        <v/>
      </c>
      <c r="V745">
        <f>IF(selection!H742=1,selection!N742,NA())</f>
        <v/>
      </c>
      <c r="W745">
        <f>IF(selection!H742=0,selection!M742,NA())</f>
        <v/>
      </c>
      <c r="X745">
        <f>IF(selection!H742=0,selection!N742,NA())</f>
        <v/>
      </c>
    </row>
    <row r="746">
      <c r="U746">
        <f>IF(selection!H743=1,selection!M743,NA())</f>
        <v/>
      </c>
      <c r="V746">
        <f>IF(selection!H743=1,selection!N743,NA())</f>
        <v/>
      </c>
      <c r="W746">
        <f>IF(selection!H743=0,selection!M743,NA())</f>
        <v/>
      </c>
      <c r="X746">
        <f>IF(selection!H743=0,selection!N743,NA())</f>
        <v/>
      </c>
    </row>
    <row r="747">
      <c r="U747">
        <f>IF(selection!H744=1,selection!M744,NA())</f>
        <v/>
      </c>
      <c r="V747">
        <f>IF(selection!H744=1,selection!N744,NA())</f>
        <v/>
      </c>
      <c r="W747">
        <f>IF(selection!H744=0,selection!M744,NA())</f>
        <v/>
      </c>
      <c r="X747">
        <f>IF(selection!H744=0,selection!N744,NA())</f>
        <v/>
      </c>
    </row>
    <row r="748">
      <c r="U748">
        <f>IF(selection!H745=1,selection!M745,NA())</f>
        <v/>
      </c>
      <c r="V748">
        <f>IF(selection!H745=1,selection!N745,NA())</f>
        <v/>
      </c>
      <c r="W748">
        <f>IF(selection!H745=0,selection!M745,NA())</f>
        <v/>
      </c>
      <c r="X748">
        <f>IF(selection!H745=0,selection!N745,NA())</f>
        <v/>
      </c>
    </row>
    <row r="749">
      <c r="U749">
        <f>IF(selection!H746=1,selection!M746,NA())</f>
        <v/>
      </c>
      <c r="V749">
        <f>IF(selection!H746=1,selection!N746,NA())</f>
        <v/>
      </c>
      <c r="W749">
        <f>IF(selection!H746=0,selection!M746,NA())</f>
        <v/>
      </c>
      <c r="X749">
        <f>IF(selection!H746=0,selection!N746,NA())</f>
        <v/>
      </c>
    </row>
    <row r="750">
      <c r="U750">
        <f>IF(selection!H747=1,selection!M747,NA())</f>
        <v/>
      </c>
      <c r="V750">
        <f>IF(selection!H747=1,selection!N747,NA())</f>
        <v/>
      </c>
      <c r="W750">
        <f>IF(selection!H747=0,selection!M747,NA())</f>
        <v/>
      </c>
      <c r="X750">
        <f>IF(selection!H747=0,selection!N747,NA())</f>
        <v/>
      </c>
    </row>
    <row r="751">
      <c r="U751">
        <f>IF(selection!H748=1,selection!M748,NA())</f>
        <v/>
      </c>
      <c r="V751">
        <f>IF(selection!H748=1,selection!N748,NA())</f>
        <v/>
      </c>
      <c r="W751">
        <f>IF(selection!H748=0,selection!M748,NA())</f>
        <v/>
      </c>
      <c r="X751">
        <f>IF(selection!H748=0,selection!N748,NA())</f>
        <v/>
      </c>
    </row>
    <row r="752">
      <c r="U752">
        <f>IF(selection!H749=1,selection!M749,NA())</f>
        <v/>
      </c>
      <c r="V752">
        <f>IF(selection!H749=1,selection!N749,NA())</f>
        <v/>
      </c>
      <c r="W752">
        <f>IF(selection!H749=0,selection!M749,NA())</f>
        <v/>
      </c>
      <c r="X752">
        <f>IF(selection!H749=0,selection!N749,NA())</f>
        <v/>
      </c>
    </row>
    <row r="753">
      <c r="U753">
        <f>IF(selection!H750=1,selection!M750,NA())</f>
        <v/>
      </c>
      <c r="V753">
        <f>IF(selection!H750=1,selection!N750,NA())</f>
        <v/>
      </c>
      <c r="W753">
        <f>IF(selection!H750=0,selection!M750,NA())</f>
        <v/>
      </c>
      <c r="X753">
        <f>IF(selection!H750=0,selection!N750,NA())</f>
        <v/>
      </c>
    </row>
    <row r="754">
      <c r="U754">
        <f>IF(selection!H751=1,selection!M751,NA())</f>
        <v/>
      </c>
      <c r="V754">
        <f>IF(selection!H751=1,selection!N751,NA())</f>
        <v/>
      </c>
      <c r="W754">
        <f>IF(selection!H751=0,selection!M751,NA())</f>
        <v/>
      </c>
      <c r="X754">
        <f>IF(selection!H751=0,selection!N751,NA())</f>
        <v/>
      </c>
    </row>
    <row r="755">
      <c r="U755">
        <f>IF(selection!H752=1,selection!M752,NA())</f>
        <v/>
      </c>
      <c r="V755">
        <f>IF(selection!H752=1,selection!N752,NA())</f>
        <v/>
      </c>
      <c r="W755">
        <f>IF(selection!H752=0,selection!M752,NA())</f>
        <v/>
      </c>
      <c r="X755">
        <f>IF(selection!H752=0,selection!N752,NA())</f>
        <v/>
      </c>
    </row>
    <row r="756">
      <c r="U756">
        <f>IF(selection!H753=1,selection!M753,NA())</f>
        <v/>
      </c>
      <c r="V756">
        <f>IF(selection!H753=1,selection!N753,NA())</f>
        <v/>
      </c>
      <c r="W756">
        <f>IF(selection!H753=0,selection!M753,NA())</f>
        <v/>
      </c>
      <c r="X756">
        <f>IF(selection!H753=0,selection!N753,NA())</f>
        <v/>
      </c>
    </row>
    <row r="757">
      <c r="U757">
        <f>IF(selection!H754=1,selection!M754,NA())</f>
        <v/>
      </c>
      <c r="V757">
        <f>IF(selection!H754=1,selection!N754,NA())</f>
        <v/>
      </c>
      <c r="W757">
        <f>IF(selection!H754=0,selection!M754,NA())</f>
        <v/>
      </c>
      <c r="X757">
        <f>IF(selection!H754=0,selection!N754,NA())</f>
        <v/>
      </c>
    </row>
    <row r="758">
      <c r="U758">
        <f>IF(selection!H755=1,selection!M755,NA())</f>
        <v/>
      </c>
      <c r="V758">
        <f>IF(selection!H755=1,selection!N755,NA())</f>
        <v/>
      </c>
      <c r="W758">
        <f>IF(selection!H755=0,selection!M755,NA())</f>
        <v/>
      </c>
      <c r="X758">
        <f>IF(selection!H755=0,selection!N755,NA())</f>
        <v/>
      </c>
    </row>
    <row r="759">
      <c r="U759">
        <f>IF(selection!H756=1,selection!M756,NA())</f>
        <v/>
      </c>
      <c r="V759">
        <f>IF(selection!H756=1,selection!N756,NA())</f>
        <v/>
      </c>
      <c r="W759">
        <f>IF(selection!H756=0,selection!M756,NA())</f>
        <v/>
      </c>
      <c r="X759">
        <f>IF(selection!H756=0,selection!N756,NA())</f>
        <v/>
      </c>
    </row>
    <row r="760">
      <c r="U760">
        <f>IF(selection!H757=1,selection!M757,NA())</f>
        <v/>
      </c>
      <c r="V760">
        <f>IF(selection!H757=1,selection!N757,NA())</f>
        <v/>
      </c>
      <c r="W760">
        <f>IF(selection!H757=0,selection!M757,NA())</f>
        <v/>
      </c>
      <c r="X760">
        <f>IF(selection!H757=0,selection!N757,NA())</f>
        <v/>
      </c>
    </row>
    <row r="761">
      <c r="U761">
        <f>IF(selection!H758=1,selection!M758,NA())</f>
        <v/>
      </c>
      <c r="V761">
        <f>IF(selection!H758=1,selection!N758,NA())</f>
        <v/>
      </c>
      <c r="W761">
        <f>IF(selection!H758=0,selection!M758,NA())</f>
        <v/>
      </c>
      <c r="X761">
        <f>IF(selection!H758=0,selection!N758,NA())</f>
        <v/>
      </c>
    </row>
    <row r="762">
      <c r="U762">
        <f>IF(selection!H759=1,selection!M759,NA())</f>
        <v/>
      </c>
      <c r="V762">
        <f>IF(selection!H759=1,selection!N759,NA())</f>
        <v/>
      </c>
      <c r="W762">
        <f>IF(selection!H759=0,selection!M759,NA())</f>
        <v/>
      </c>
      <c r="X762">
        <f>IF(selection!H759=0,selection!N759,NA())</f>
        <v/>
      </c>
    </row>
    <row r="763">
      <c r="U763">
        <f>IF(selection!H760=1,selection!M760,NA())</f>
        <v/>
      </c>
      <c r="V763">
        <f>IF(selection!H760=1,selection!N760,NA())</f>
        <v/>
      </c>
      <c r="W763">
        <f>IF(selection!H760=0,selection!M760,NA())</f>
        <v/>
      </c>
      <c r="X763">
        <f>IF(selection!H760=0,selection!N760,NA())</f>
        <v/>
      </c>
    </row>
    <row r="764">
      <c r="U764">
        <f>IF(selection!H761=1,selection!M761,NA())</f>
        <v/>
      </c>
      <c r="V764">
        <f>IF(selection!H761=1,selection!N761,NA())</f>
        <v/>
      </c>
      <c r="W764">
        <f>IF(selection!H761=0,selection!M761,NA())</f>
        <v/>
      </c>
      <c r="X764">
        <f>IF(selection!H761=0,selection!N761,NA())</f>
        <v/>
      </c>
    </row>
    <row r="765">
      <c r="U765">
        <f>IF(selection!H762=1,selection!M762,NA())</f>
        <v/>
      </c>
      <c r="V765">
        <f>IF(selection!H762=1,selection!N762,NA())</f>
        <v/>
      </c>
      <c r="W765">
        <f>IF(selection!H762=0,selection!M762,NA())</f>
        <v/>
      </c>
      <c r="X765">
        <f>IF(selection!H762=0,selection!N762,NA())</f>
        <v/>
      </c>
    </row>
    <row r="766">
      <c r="U766">
        <f>IF(selection!H763=1,selection!M763,NA())</f>
        <v/>
      </c>
      <c r="V766">
        <f>IF(selection!H763=1,selection!N763,NA())</f>
        <v/>
      </c>
      <c r="W766">
        <f>IF(selection!H763=0,selection!M763,NA())</f>
        <v/>
      </c>
      <c r="X766">
        <f>IF(selection!H763=0,selection!N763,NA())</f>
        <v/>
      </c>
    </row>
    <row r="767">
      <c r="U767">
        <f>IF(selection!H764=1,selection!M764,NA())</f>
        <v/>
      </c>
      <c r="V767">
        <f>IF(selection!H764=1,selection!N764,NA())</f>
        <v/>
      </c>
      <c r="W767">
        <f>IF(selection!H764=0,selection!M764,NA())</f>
        <v/>
      </c>
      <c r="X767">
        <f>IF(selection!H764=0,selection!N764,NA())</f>
        <v/>
      </c>
    </row>
    <row r="768">
      <c r="U768">
        <f>IF(selection!H765=1,selection!M765,NA())</f>
        <v/>
      </c>
      <c r="V768">
        <f>IF(selection!H765=1,selection!N765,NA())</f>
        <v/>
      </c>
      <c r="W768">
        <f>IF(selection!H765=0,selection!M765,NA())</f>
        <v/>
      </c>
      <c r="X768">
        <f>IF(selection!H765=0,selection!N765,NA())</f>
        <v/>
      </c>
    </row>
    <row r="769">
      <c r="U769">
        <f>IF(selection!H766=1,selection!M766,NA())</f>
        <v/>
      </c>
      <c r="V769">
        <f>IF(selection!H766=1,selection!N766,NA())</f>
        <v/>
      </c>
      <c r="W769">
        <f>IF(selection!H766=0,selection!M766,NA())</f>
        <v/>
      </c>
      <c r="X769">
        <f>IF(selection!H766=0,selection!N766,NA())</f>
        <v/>
      </c>
    </row>
    <row r="770">
      <c r="U770">
        <f>IF(selection!H767=1,selection!M767,NA())</f>
        <v/>
      </c>
      <c r="V770">
        <f>IF(selection!H767=1,selection!N767,NA())</f>
        <v/>
      </c>
      <c r="W770">
        <f>IF(selection!H767=0,selection!M767,NA())</f>
        <v/>
      </c>
      <c r="X770">
        <f>IF(selection!H767=0,selection!N767,NA())</f>
        <v/>
      </c>
    </row>
    <row r="771">
      <c r="U771">
        <f>IF(selection!H768=1,selection!M768,NA())</f>
        <v/>
      </c>
      <c r="V771">
        <f>IF(selection!H768=1,selection!N768,NA())</f>
        <v/>
      </c>
      <c r="W771">
        <f>IF(selection!H768=0,selection!M768,NA())</f>
        <v/>
      </c>
      <c r="X771">
        <f>IF(selection!H768=0,selection!N768,NA())</f>
        <v/>
      </c>
    </row>
    <row r="772">
      <c r="U772">
        <f>IF(selection!H769=1,selection!M769,NA())</f>
        <v/>
      </c>
      <c r="V772">
        <f>IF(selection!H769=1,selection!N769,NA())</f>
        <v/>
      </c>
      <c r="W772">
        <f>IF(selection!H769=0,selection!M769,NA())</f>
        <v/>
      </c>
      <c r="X772">
        <f>IF(selection!H769=0,selection!N769,NA())</f>
        <v/>
      </c>
    </row>
    <row r="773">
      <c r="U773">
        <f>IF(selection!H770=1,selection!M770,NA())</f>
        <v/>
      </c>
      <c r="V773">
        <f>IF(selection!H770=1,selection!N770,NA())</f>
        <v/>
      </c>
      <c r="W773">
        <f>IF(selection!H770=0,selection!M770,NA())</f>
        <v/>
      </c>
      <c r="X773">
        <f>IF(selection!H770=0,selection!N770,NA())</f>
        <v/>
      </c>
    </row>
    <row r="774">
      <c r="U774">
        <f>IF(selection!H771=1,selection!M771,NA())</f>
        <v/>
      </c>
      <c r="V774">
        <f>IF(selection!H771=1,selection!N771,NA())</f>
        <v/>
      </c>
      <c r="W774">
        <f>IF(selection!H771=0,selection!M771,NA())</f>
        <v/>
      </c>
      <c r="X774">
        <f>IF(selection!H771=0,selection!N771,NA())</f>
        <v/>
      </c>
    </row>
    <row r="775">
      <c r="U775">
        <f>IF(selection!H772=1,selection!M772,NA())</f>
        <v/>
      </c>
      <c r="V775">
        <f>IF(selection!H772=1,selection!N772,NA())</f>
        <v/>
      </c>
      <c r="W775">
        <f>IF(selection!H772=0,selection!M772,NA())</f>
        <v/>
      </c>
      <c r="X775">
        <f>IF(selection!H772=0,selection!N772,NA())</f>
        <v/>
      </c>
    </row>
    <row r="776">
      <c r="U776">
        <f>IF(selection!H773=1,selection!M773,NA())</f>
        <v/>
      </c>
      <c r="V776">
        <f>IF(selection!H773=1,selection!N773,NA())</f>
        <v/>
      </c>
      <c r="W776">
        <f>IF(selection!H773=0,selection!M773,NA())</f>
        <v/>
      </c>
      <c r="X776">
        <f>IF(selection!H773=0,selection!N773,NA())</f>
        <v/>
      </c>
    </row>
    <row r="777">
      <c r="U777">
        <f>IF(selection!H774=1,selection!M774,NA())</f>
        <v/>
      </c>
      <c r="V777">
        <f>IF(selection!H774=1,selection!N774,NA())</f>
        <v/>
      </c>
      <c r="W777">
        <f>IF(selection!H774=0,selection!M774,NA())</f>
        <v/>
      </c>
      <c r="X777">
        <f>IF(selection!H774=0,selection!N774,NA())</f>
        <v/>
      </c>
    </row>
    <row r="778">
      <c r="U778">
        <f>IF(selection!H775=1,selection!M775,NA())</f>
        <v/>
      </c>
      <c r="V778">
        <f>IF(selection!H775=1,selection!N775,NA())</f>
        <v/>
      </c>
      <c r="W778">
        <f>IF(selection!H775=0,selection!M775,NA())</f>
        <v/>
      </c>
      <c r="X778">
        <f>IF(selection!H775=0,selection!N775,NA())</f>
        <v/>
      </c>
    </row>
    <row r="779">
      <c r="U779">
        <f>IF(selection!H776=1,selection!M776,NA())</f>
        <v/>
      </c>
      <c r="V779">
        <f>IF(selection!H776=1,selection!N776,NA())</f>
        <v/>
      </c>
      <c r="W779">
        <f>IF(selection!H776=0,selection!M776,NA())</f>
        <v/>
      </c>
      <c r="X779">
        <f>IF(selection!H776=0,selection!N776,NA())</f>
        <v/>
      </c>
    </row>
    <row r="780">
      <c r="U780">
        <f>IF(selection!H777=1,selection!M777,NA())</f>
        <v/>
      </c>
      <c r="V780">
        <f>IF(selection!H777=1,selection!N777,NA())</f>
        <v/>
      </c>
      <c r="W780">
        <f>IF(selection!H777=0,selection!M777,NA())</f>
        <v/>
      </c>
      <c r="X780">
        <f>IF(selection!H777=0,selection!N777,NA())</f>
        <v/>
      </c>
    </row>
    <row r="781">
      <c r="U781">
        <f>IF(selection!H778=1,selection!M778,NA())</f>
        <v/>
      </c>
      <c r="V781">
        <f>IF(selection!H778=1,selection!N778,NA())</f>
        <v/>
      </c>
      <c r="W781">
        <f>IF(selection!H778=0,selection!M778,NA())</f>
        <v/>
      </c>
      <c r="X781">
        <f>IF(selection!H778=0,selection!N778,NA())</f>
        <v/>
      </c>
    </row>
    <row r="782">
      <c r="U782">
        <f>IF(selection!H779=1,selection!M779,NA())</f>
        <v/>
      </c>
      <c r="V782">
        <f>IF(selection!H779=1,selection!N779,NA())</f>
        <v/>
      </c>
      <c r="W782">
        <f>IF(selection!H779=0,selection!M779,NA())</f>
        <v/>
      </c>
      <c r="X782">
        <f>IF(selection!H779=0,selection!N779,NA())</f>
        <v/>
      </c>
    </row>
    <row r="783">
      <c r="U783">
        <f>IF(selection!H780=1,selection!M780,NA())</f>
        <v/>
      </c>
      <c r="V783">
        <f>IF(selection!H780=1,selection!N780,NA())</f>
        <v/>
      </c>
      <c r="W783">
        <f>IF(selection!H780=0,selection!M780,NA())</f>
        <v/>
      </c>
      <c r="X783">
        <f>IF(selection!H780=0,selection!N780,NA())</f>
        <v/>
      </c>
    </row>
    <row r="784">
      <c r="U784">
        <f>IF(selection!H781=1,selection!M781,NA())</f>
        <v/>
      </c>
      <c r="V784">
        <f>IF(selection!H781=1,selection!N781,NA())</f>
        <v/>
      </c>
      <c r="W784">
        <f>IF(selection!H781=0,selection!M781,NA())</f>
        <v/>
      </c>
      <c r="X784">
        <f>IF(selection!H781=0,selection!N781,NA())</f>
        <v/>
      </c>
    </row>
    <row r="785">
      <c r="U785">
        <f>IF(selection!H782=1,selection!M782,NA())</f>
        <v/>
      </c>
      <c r="V785">
        <f>IF(selection!H782=1,selection!N782,NA())</f>
        <v/>
      </c>
      <c r="W785">
        <f>IF(selection!H782=0,selection!M782,NA())</f>
        <v/>
      </c>
      <c r="X785">
        <f>IF(selection!H782=0,selection!N782,NA())</f>
        <v/>
      </c>
    </row>
    <row r="786">
      <c r="U786">
        <f>IF(selection!H783=1,selection!M783,NA())</f>
        <v/>
      </c>
      <c r="V786">
        <f>IF(selection!H783=1,selection!N783,NA())</f>
        <v/>
      </c>
      <c r="W786">
        <f>IF(selection!H783=0,selection!M783,NA())</f>
        <v/>
      </c>
      <c r="X786">
        <f>IF(selection!H783=0,selection!N783,NA())</f>
        <v/>
      </c>
    </row>
    <row r="787">
      <c r="U787">
        <f>IF(selection!H784=1,selection!M784,NA())</f>
        <v/>
      </c>
      <c r="V787">
        <f>IF(selection!H784=1,selection!N784,NA())</f>
        <v/>
      </c>
      <c r="W787">
        <f>IF(selection!H784=0,selection!M784,NA())</f>
        <v/>
      </c>
      <c r="X787">
        <f>IF(selection!H784=0,selection!N784,NA())</f>
        <v/>
      </c>
    </row>
    <row r="788">
      <c r="U788">
        <f>IF(selection!H785=1,selection!M785,NA())</f>
        <v/>
      </c>
      <c r="V788">
        <f>IF(selection!H785=1,selection!N785,NA())</f>
        <v/>
      </c>
      <c r="W788">
        <f>IF(selection!H785=0,selection!M785,NA())</f>
        <v/>
      </c>
      <c r="X788">
        <f>IF(selection!H785=0,selection!N785,NA())</f>
        <v/>
      </c>
    </row>
    <row r="789">
      <c r="U789">
        <f>IF(selection!H786=1,selection!M786,NA())</f>
        <v/>
      </c>
      <c r="V789">
        <f>IF(selection!H786=1,selection!N786,NA())</f>
        <v/>
      </c>
      <c r="W789">
        <f>IF(selection!H786=0,selection!M786,NA())</f>
        <v/>
      </c>
      <c r="X789">
        <f>IF(selection!H786=0,selection!N786,NA())</f>
        <v/>
      </c>
    </row>
    <row r="790">
      <c r="U790">
        <f>IF(selection!H787=1,selection!M787,NA())</f>
        <v/>
      </c>
      <c r="V790">
        <f>IF(selection!H787=1,selection!N787,NA())</f>
        <v/>
      </c>
      <c r="W790">
        <f>IF(selection!H787=0,selection!M787,NA())</f>
        <v/>
      </c>
      <c r="X790">
        <f>IF(selection!H787=0,selection!N787,NA())</f>
        <v/>
      </c>
    </row>
    <row r="791">
      <c r="U791">
        <f>IF(selection!H788=1,selection!M788,NA())</f>
        <v/>
      </c>
      <c r="V791">
        <f>IF(selection!H788=1,selection!N788,NA())</f>
        <v/>
      </c>
      <c r="W791">
        <f>IF(selection!H788=0,selection!M788,NA())</f>
        <v/>
      </c>
      <c r="X791">
        <f>IF(selection!H788=0,selection!N788,NA())</f>
        <v/>
      </c>
    </row>
    <row r="792">
      <c r="U792">
        <f>IF(selection!H789=1,selection!M789,NA())</f>
        <v/>
      </c>
      <c r="V792">
        <f>IF(selection!H789=1,selection!N789,NA())</f>
        <v/>
      </c>
      <c r="W792">
        <f>IF(selection!H789=0,selection!M789,NA())</f>
        <v/>
      </c>
      <c r="X792">
        <f>IF(selection!H789=0,selection!N789,NA())</f>
        <v/>
      </c>
    </row>
    <row r="793">
      <c r="U793">
        <f>IF(selection!H790=1,selection!M790,NA())</f>
        <v/>
      </c>
      <c r="V793">
        <f>IF(selection!H790=1,selection!N790,NA())</f>
        <v/>
      </c>
      <c r="W793">
        <f>IF(selection!H790=0,selection!M790,NA())</f>
        <v/>
      </c>
      <c r="X793">
        <f>IF(selection!H790=0,selection!N790,NA())</f>
        <v/>
      </c>
    </row>
    <row r="794">
      <c r="U794">
        <f>IF(selection!H791=1,selection!M791,NA())</f>
        <v/>
      </c>
      <c r="V794">
        <f>IF(selection!H791=1,selection!N791,NA())</f>
        <v/>
      </c>
      <c r="W794">
        <f>IF(selection!H791=0,selection!M791,NA())</f>
        <v/>
      </c>
      <c r="X794">
        <f>IF(selection!H791=0,selection!N791,NA())</f>
        <v/>
      </c>
    </row>
    <row r="795">
      <c r="U795">
        <f>IF(selection!H792=1,selection!M792,NA())</f>
        <v/>
      </c>
      <c r="V795">
        <f>IF(selection!H792=1,selection!N792,NA())</f>
        <v/>
      </c>
      <c r="W795">
        <f>IF(selection!H792=0,selection!M792,NA())</f>
        <v/>
      </c>
      <c r="X795">
        <f>IF(selection!H792=0,selection!N792,NA())</f>
        <v/>
      </c>
    </row>
    <row r="796">
      <c r="U796">
        <f>IF(selection!H793=1,selection!M793,NA())</f>
        <v/>
      </c>
      <c r="V796">
        <f>IF(selection!H793=1,selection!N793,NA())</f>
        <v/>
      </c>
      <c r="W796">
        <f>IF(selection!H793=0,selection!M793,NA())</f>
        <v/>
      </c>
      <c r="X796">
        <f>IF(selection!H793=0,selection!N793,NA())</f>
        <v/>
      </c>
    </row>
    <row r="797">
      <c r="U797">
        <f>IF(selection!H794=1,selection!M794,NA())</f>
        <v/>
      </c>
      <c r="V797">
        <f>IF(selection!H794=1,selection!N794,NA())</f>
        <v/>
      </c>
      <c r="W797">
        <f>IF(selection!H794=0,selection!M794,NA())</f>
        <v/>
      </c>
      <c r="X797">
        <f>IF(selection!H794=0,selection!N794,NA())</f>
        <v/>
      </c>
    </row>
    <row r="798">
      <c r="U798">
        <f>IF(selection!H795=1,selection!M795,NA())</f>
        <v/>
      </c>
      <c r="V798">
        <f>IF(selection!H795=1,selection!N795,NA())</f>
        <v/>
      </c>
      <c r="W798">
        <f>IF(selection!H795=0,selection!M795,NA())</f>
        <v/>
      </c>
      <c r="X798">
        <f>IF(selection!H795=0,selection!N795,NA())</f>
        <v/>
      </c>
    </row>
    <row r="799">
      <c r="U799">
        <f>IF(selection!H796=1,selection!M796,NA())</f>
        <v/>
      </c>
      <c r="V799">
        <f>IF(selection!H796=1,selection!N796,NA())</f>
        <v/>
      </c>
      <c r="W799">
        <f>IF(selection!H796=0,selection!M796,NA())</f>
        <v/>
      </c>
      <c r="X799">
        <f>IF(selection!H796=0,selection!N796,NA())</f>
        <v/>
      </c>
    </row>
    <row r="800">
      <c r="U800">
        <f>IF(selection!H797=1,selection!M797,NA())</f>
        <v/>
      </c>
      <c r="V800">
        <f>IF(selection!H797=1,selection!N797,NA())</f>
        <v/>
      </c>
      <c r="W800">
        <f>IF(selection!H797=0,selection!M797,NA())</f>
        <v/>
      </c>
      <c r="X800">
        <f>IF(selection!H797=0,selection!N797,NA())</f>
        <v/>
      </c>
    </row>
    <row r="801">
      <c r="U801">
        <f>IF(selection!H798=1,selection!M798,NA())</f>
        <v/>
      </c>
      <c r="V801">
        <f>IF(selection!H798=1,selection!N798,NA())</f>
        <v/>
      </c>
      <c r="W801">
        <f>IF(selection!H798=0,selection!M798,NA())</f>
        <v/>
      </c>
      <c r="X801">
        <f>IF(selection!H798=0,selection!N798,NA())</f>
        <v/>
      </c>
    </row>
    <row r="802">
      <c r="U802">
        <f>IF(selection!H799=1,selection!M799,NA())</f>
        <v/>
      </c>
      <c r="V802">
        <f>IF(selection!H799=1,selection!N799,NA())</f>
        <v/>
      </c>
      <c r="W802">
        <f>IF(selection!H799=0,selection!M799,NA())</f>
        <v/>
      </c>
      <c r="X802">
        <f>IF(selection!H799=0,selection!N799,NA())</f>
        <v/>
      </c>
    </row>
    <row r="803">
      <c r="U803">
        <f>IF(selection!H800=1,selection!M800,NA())</f>
        <v/>
      </c>
      <c r="V803">
        <f>IF(selection!H800=1,selection!N800,NA())</f>
        <v/>
      </c>
      <c r="W803">
        <f>IF(selection!H800=0,selection!M800,NA())</f>
        <v/>
      </c>
      <c r="X803">
        <f>IF(selection!H800=0,selection!N800,NA())</f>
        <v/>
      </c>
    </row>
    <row r="804">
      <c r="U804">
        <f>IF(selection!H801=1,selection!M801,NA())</f>
        <v/>
      </c>
      <c r="V804">
        <f>IF(selection!H801=1,selection!N801,NA())</f>
        <v/>
      </c>
      <c r="W804">
        <f>IF(selection!H801=0,selection!M801,NA())</f>
        <v/>
      </c>
      <c r="X804">
        <f>IF(selection!H801=0,selection!N801,NA())</f>
        <v/>
      </c>
    </row>
    <row r="805">
      <c r="U805">
        <f>IF(selection!H802=1,selection!M802,NA())</f>
        <v/>
      </c>
      <c r="V805">
        <f>IF(selection!H802=1,selection!N802,NA())</f>
        <v/>
      </c>
      <c r="W805">
        <f>IF(selection!H802=0,selection!M802,NA())</f>
        <v/>
      </c>
      <c r="X805">
        <f>IF(selection!H802=0,selection!N802,NA())</f>
        <v/>
      </c>
    </row>
    <row r="806">
      <c r="U806">
        <f>IF(selection!H803=1,selection!M803,NA())</f>
        <v/>
      </c>
      <c r="V806">
        <f>IF(selection!H803=1,selection!N803,NA())</f>
        <v/>
      </c>
      <c r="W806">
        <f>IF(selection!H803=0,selection!M803,NA())</f>
        <v/>
      </c>
      <c r="X806">
        <f>IF(selection!H803=0,selection!N803,NA())</f>
        <v/>
      </c>
    </row>
    <row r="807">
      <c r="U807">
        <f>IF(selection!H804=1,selection!M804,NA())</f>
        <v/>
      </c>
      <c r="V807">
        <f>IF(selection!H804=1,selection!N804,NA())</f>
        <v/>
      </c>
      <c r="W807">
        <f>IF(selection!H804=0,selection!M804,NA())</f>
        <v/>
      </c>
      <c r="X807">
        <f>IF(selection!H804=0,selection!N804,NA())</f>
        <v/>
      </c>
    </row>
    <row r="808">
      <c r="U808">
        <f>IF(selection!H805=1,selection!M805,NA())</f>
        <v/>
      </c>
      <c r="V808">
        <f>IF(selection!H805=1,selection!N805,NA())</f>
        <v/>
      </c>
      <c r="W808">
        <f>IF(selection!H805=0,selection!M805,NA())</f>
        <v/>
      </c>
      <c r="X808">
        <f>IF(selection!H805=0,selection!N805,NA())</f>
        <v/>
      </c>
    </row>
    <row r="809">
      <c r="U809">
        <f>IF(selection!H806=1,selection!M806,NA())</f>
        <v/>
      </c>
      <c r="V809">
        <f>IF(selection!H806=1,selection!N806,NA())</f>
        <v/>
      </c>
      <c r="W809">
        <f>IF(selection!H806=0,selection!M806,NA())</f>
        <v/>
      </c>
      <c r="X809">
        <f>IF(selection!H806=0,selection!N806,NA())</f>
        <v/>
      </c>
    </row>
    <row r="810">
      <c r="U810">
        <f>IF(selection!H807=1,selection!M807,NA())</f>
        <v/>
      </c>
      <c r="V810">
        <f>IF(selection!H807=1,selection!N807,NA())</f>
        <v/>
      </c>
      <c r="W810">
        <f>IF(selection!H807=0,selection!M807,NA())</f>
        <v/>
      </c>
      <c r="X810">
        <f>IF(selection!H807=0,selection!N807,NA())</f>
        <v/>
      </c>
    </row>
    <row r="811">
      <c r="U811">
        <f>IF(selection!H808=1,selection!M808,NA())</f>
        <v/>
      </c>
      <c r="V811">
        <f>IF(selection!H808=1,selection!N808,NA())</f>
        <v/>
      </c>
      <c r="W811">
        <f>IF(selection!H808=0,selection!M808,NA())</f>
        <v/>
      </c>
      <c r="X811">
        <f>IF(selection!H808=0,selection!N808,NA())</f>
        <v/>
      </c>
    </row>
    <row r="812">
      <c r="U812">
        <f>IF(selection!H809=1,selection!M809,NA())</f>
        <v/>
      </c>
      <c r="V812">
        <f>IF(selection!H809=1,selection!N809,NA())</f>
        <v/>
      </c>
      <c r="W812">
        <f>IF(selection!H809=0,selection!M809,NA())</f>
        <v/>
      </c>
      <c r="X812">
        <f>IF(selection!H809=0,selection!N809,NA())</f>
        <v/>
      </c>
    </row>
    <row r="813">
      <c r="U813">
        <f>IF(selection!H810=1,selection!M810,NA())</f>
        <v/>
      </c>
      <c r="V813">
        <f>IF(selection!H810=1,selection!N810,NA())</f>
        <v/>
      </c>
      <c r="W813">
        <f>IF(selection!H810=0,selection!M810,NA())</f>
        <v/>
      </c>
      <c r="X813">
        <f>IF(selection!H810=0,selection!N810,NA())</f>
        <v/>
      </c>
    </row>
    <row r="814">
      <c r="U814">
        <f>IF(selection!H811=1,selection!M811,NA())</f>
        <v/>
      </c>
      <c r="V814">
        <f>IF(selection!H811=1,selection!N811,NA())</f>
        <v/>
      </c>
      <c r="W814">
        <f>IF(selection!H811=0,selection!M811,NA())</f>
        <v/>
      </c>
      <c r="X814">
        <f>IF(selection!H811=0,selection!N811,NA())</f>
        <v/>
      </c>
    </row>
    <row r="815">
      <c r="U815">
        <f>IF(selection!H812=1,selection!M812,NA())</f>
        <v/>
      </c>
      <c r="V815">
        <f>IF(selection!H812=1,selection!N812,NA())</f>
        <v/>
      </c>
      <c r="W815">
        <f>IF(selection!H812=0,selection!M812,NA())</f>
        <v/>
      </c>
      <c r="X815">
        <f>IF(selection!H812=0,selection!N812,NA())</f>
        <v/>
      </c>
    </row>
    <row r="816">
      <c r="U816">
        <f>IF(selection!H813=1,selection!M813,NA())</f>
        <v/>
      </c>
      <c r="V816">
        <f>IF(selection!H813=1,selection!N813,NA())</f>
        <v/>
      </c>
      <c r="W816">
        <f>IF(selection!H813=0,selection!M813,NA())</f>
        <v/>
      </c>
      <c r="X816">
        <f>IF(selection!H813=0,selection!N813,NA())</f>
        <v/>
      </c>
    </row>
    <row r="817">
      <c r="U817">
        <f>IF(selection!H814=1,selection!M814,NA())</f>
        <v/>
      </c>
      <c r="V817">
        <f>IF(selection!H814=1,selection!N814,NA())</f>
        <v/>
      </c>
      <c r="W817">
        <f>IF(selection!H814=0,selection!M814,NA())</f>
        <v/>
      </c>
      <c r="X817">
        <f>IF(selection!H814=0,selection!N814,NA())</f>
        <v/>
      </c>
    </row>
    <row r="818">
      <c r="U818">
        <f>IF(selection!H815=1,selection!M815,NA())</f>
        <v/>
      </c>
      <c r="V818">
        <f>IF(selection!H815=1,selection!N815,NA())</f>
        <v/>
      </c>
      <c r="W818">
        <f>IF(selection!H815=0,selection!M815,NA())</f>
        <v/>
      </c>
      <c r="X818">
        <f>IF(selection!H815=0,selection!N815,NA())</f>
        <v/>
      </c>
    </row>
    <row r="819">
      <c r="U819">
        <f>IF(selection!H816=1,selection!M816,NA())</f>
        <v/>
      </c>
      <c r="V819">
        <f>IF(selection!H816=1,selection!N816,NA())</f>
        <v/>
      </c>
      <c r="W819">
        <f>IF(selection!H816=0,selection!M816,NA())</f>
        <v/>
      </c>
      <c r="X819">
        <f>IF(selection!H816=0,selection!N816,NA())</f>
        <v/>
      </c>
    </row>
    <row r="820">
      <c r="U820">
        <f>IF(selection!H817=1,selection!M817,NA())</f>
        <v/>
      </c>
      <c r="V820">
        <f>IF(selection!H817=1,selection!N817,NA())</f>
        <v/>
      </c>
      <c r="W820">
        <f>IF(selection!H817=0,selection!M817,NA())</f>
        <v/>
      </c>
      <c r="X820">
        <f>IF(selection!H817=0,selection!N817,NA())</f>
        <v/>
      </c>
    </row>
    <row r="821">
      <c r="U821">
        <f>IF(selection!H818=1,selection!M818,NA())</f>
        <v/>
      </c>
      <c r="V821">
        <f>IF(selection!H818=1,selection!N818,NA())</f>
        <v/>
      </c>
      <c r="W821">
        <f>IF(selection!H818=0,selection!M818,NA())</f>
        <v/>
      </c>
      <c r="X821">
        <f>IF(selection!H818=0,selection!N818,NA())</f>
        <v/>
      </c>
    </row>
    <row r="822">
      <c r="U822">
        <f>IF(selection!H819=1,selection!M819,NA())</f>
        <v/>
      </c>
      <c r="V822">
        <f>IF(selection!H819=1,selection!N819,NA())</f>
        <v/>
      </c>
      <c r="W822">
        <f>IF(selection!H819=0,selection!M819,NA())</f>
        <v/>
      </c>
      <c r="X822">
        <f>IF(selection!H819=0,selection!N819,NA())</f>
        <v/>
      </c>
    </row>
    <row r="823">
      <c r="U823">
        <f>IF(selection!H820=1,selection!M820,NA())</f>
        <v/>
      </c>
      <c r="V823">
        <f>IF(selection!H820=1,selection!N820,NA())</f>
        <v/>
      </c>
      <c r="W823">
        <f>IF(selection!H820=0,selection!M820,NA())</f>
        <v/>
      </c>
      <c r="X823">
        <f>IF(selection!H820=0,selection!N820,NA())</f>
        <v/>
      </c>
    </row>
    <row r="824">
      <c r="U824">
        <f>IF(selection!H821=1,selection!M821,NA())</f>
        <v/>
      </c>
      <c r="V824">
        <f>IF(selection!H821=1,selection!N821,NA())</f>
        <v/>
      </c>
      <c r="W824">
        <f>IF(selection!H821=0,selection!M821,NA())</f>
        <v/>
      </c>
      <c r="X824">
        <f>IF(selection!H821=0,selection!N821,NA())</f>
        <v/>
      </c>
    </row>
    <row r="825">
      <c r="U825">
        <f>IF(selection!H822=1,selection!M822,NA())</f>
        <v/>
      </c>
      <c r="V825">
        <f>IF(selection!H822=1,selection!N822,NA())</f>
        <v/>
      </c>
      <c r="W825">
        <f>IF(selection!H822=0,selection!M822,NA())</f>
        <v/>
      </c>
      <c r="X825">
        <f>IF(selection!H822=0,selection!N822,NA())</f>
        <v/>
      </c>
    </row>
    <row r="826">
      <c r="U826">
        <f>IF(selection!H823=1,selection!M823,NA())</f>
        <v/>
      </c>
      <c r="V826">
        <f>IF(selection!H823=1,selection!N823,NA())</f>
        <v/>
      </c>
      <c r="W826">
        <f>IF(selection!H823=0,selection!M823,NA())</f>
        <v/>
      </c>
      <c r="X826">
        <f>IF(selection!H823=0,selection!N823,NA())</f>
        <v/>
      </c>
    </row>
    <row r="827">
      <c r="U827">
        <f>IF(selection!H824=1,selection!M824,NA())</f>
        <v/>
      </c>
      <c r="V827">
        <f>IF(selection!H824=1,selection!N824,NA())</f>
        <v/>
      </c>
      <c r="W827">
        <f>IF(selection!H824=0,selection!M824,NA())</f>
        <v/>
      </c>
      <c r="X827">
        <f>IF(selection!H824=0,selection!N824,NA())</f>
        <v/>
      </c>
    </row>
    <row r="828">
      <c r="U828">
        <f>IF(selection!H825=1,selection!M825,NA())</f>
        <v/>
      </c>
      <c r="V828">
        <f>IF(selection!H825=1,selection!N825,NA())</f>
        <v/>
      </c>
      <c r="W828">
        <f>IF(selection!H825=0,selection!M825,NA())</f>
        <v/>
      </c>
      <c r="X828">
        <f>IF(selection!H825=0,selection!N825,NA())</f>
        <v/>
      </c>
    </row>
    <row r="829">
      <c r="U829">
        <f>IF(selection!H826=1,selection!M826,NA())</f>
        <v/>
      </c>
      <c r="V829">
        <f>IF(selection!H826=1,selection!N826,NA())</f>
        <v/>
      </c>
      <c r="W829">
        <f>IF(selection!H826=0,selection!M826,NA())</f>
        <v/>
      </c>
      <c r="X829">
        <f>IF(selection!H826=0,selection!N826,NA())</f>
        <v/>
      </c>
    </row>
    <row r="830">
      <c r="U830">
        <f>IF(selection!H827=1,selection!M827,NA())</f>
        <v/>
      </c>
      <c r="V830">
        <f>IF(selection!H827=1,selection!N827,NA())</f>
        <v/>
      </c>
      <c r="W830">
        <f>IF(selection!H827=0,selection!M827,NA())</f>
        <v/>
      </c>
      <c r="X830">
        <f>IF(selection!H827=0,selection!N827,NA())</f>
        <v/>
      </c>
    </row>
    <row r="831">
      <c r="U831">
        <f>IF(selection!H828=1,selection!M828,NA())</f>
        <v/>
      </c>
      <c r="V831">
        <f>IF(selection!H828=1,selection!N828,NA())</f>
        <v/>
      </c>
      <c r="W831">
        <f>IF(selection!H828=0,selection!M828,NA())</f>
        <v/>
      </c>
      <c r="X831">
        <f>IF(selection!H828=0,selection!N828,NA())</f>
        <v/>
      </c>
    </row>
    <row r="832">
      <c r="U832">
        <f>IF(selection!H829=1,selection!M829,NA())</f>
        <v/>
      </c>
      <c r="V832">
        <f>IF(selection!H829=1,selection!N829,NA())</f>
        <v/>
      </c>
      <c r="W832">
        <f>IF(selection!H829=0,selection!M829,NA())</f>
        <v/>
      </c>
      <c r="X832">
        <f>IF(selection!H829=0,selection!N829,NA())</f>
        <v/>
      </c>
    </row>
    <row r="833">
      <c r="U833">
        <f>IF(selection!H830=1,selection!M830,NA())</f>
        <v/>
      </c>
      <c r="V833">
        <f>IF(selection!H830=1,selection!N830,NA())</f>
        <v/>
      </c>
      <c r="W833">
        <f>IF(selection!H830=0,selection!M830,NA())</f>
        <v/>
      </c>
      <c r="X833">
        <f>IF(selection!H830=0,selection!N830,NA())</f>
        <v/>
      </c>
    </row>
    <row r="834">
      <c r="U834">
        <f>IF(selection!H831=1,selection!M831,NA())</f>
        <v/>
      </c>
      <c r="V834">
        <f>IF(selection!H831=1,selection!N831,NA())</f>
        <v/>
      </c>
      <c r="W834">
        <f>IF(selection!H831=0,selection!M831,NA())</f>
        <v/>
      </c>
      <c r="X834">
        <f>IF(selection!H831=0,selection!N831,NA())</f>
        <v/>
      </c>
    </row>
    <row r="835">
      <c r="U835">
        <f>IF(selection!H832=1,selection!M832,NA())</f>
        <v/>
      </c>
      <c r="V835">
        <f>IF(selection!H832=1,selection!N832,NA())</f>
        <v/>
      </c>
      <c r="W835">
        <f>IF(selection!H832=0,selection!M832,NA())</f>
        <v/>
      </c>
      <c r="X835">
        <f>IF(selection!H832=0,selection!N832,NA())</f>
        <v/>
      </c>
    </row>
    <row r="836">
      <c r="U836">
        <f>IF(selection!H833=1,selection!M833,NA())</f>
        <v/>
      </c>
      <c r="V836">
        <f>IF(selection!H833=1,selection!N833,NA())</f>
        <v/>
      </c>
      <c r="W836">
        <f>IF(selection!H833=0,selection!M833,NA())</f>
        <v/>
      </c>
      <c r="X836">
        <f>IF(selection!H833=0,selection!N833,NA())</f>
        <v/>
      </c>
    </row>
    <row r="837">
      <c r="U837">
        <f>IF(selection!H834=1,selection!M834,NA())</f>
        <v/>
      </c>
      <c r="V837">
        <f>IF(selection!H834=1,selection!N834,NA())</f>
        <v/>
      </c>
      <c r="W837">
        <f>IF(selection!H834=0,selection!M834,NA())</f>
        <v/>
      </c>
      <c r="X837">
        <f>IF(selection!H834=0,selection!N834,NA())</f>
        <v/>
      </c>
    </row>
    <row r="838">
      <c r="U838">
        <f>IF(selection!H835=1,selection!M835,NA())</f>
        <v/>
      </c>
      <c r="V838">
        <f>IF(selection!H835=1,selection!N835,NA())</f>
        <v/>
      </c>
      <c r="W838">
        <f>IF(selection!H835=0,selection!M835,NA())</f>
        <v/>
      </c>
      <c r="X838">
        <f>IF(selection!H835=0,selection!N835,NA())</f>
        <v/>
      </c>
    </row>
    <row r="839">
      <c r="U839">
        <f>IF(selection!H836=1,selection!M836,NA())</f>
        <v/>
      </c>
      <c r="V839">
        <f>IF(selection!H836=1,selection!N836,NA())</f>
        <v/>
      </c>
      <c r="W839">
        <f>IF(selection!H836=0,selection!M836,NA())</f>
        <v/>
      </c>
      <c r="X839">
        <f>IF(selection!H836=0,selection!N836,NA())</f>
        <v/>
      </c>
    </row>
    <row r="840">
      <c r="U840">
        <f>IF(selection!H837=1,selection!M837,NA())</f>
        <v/>
      </c>
      <c r="V840">
        <f>IF(selection!H837=1,selection!N837,NA())</f>
        <v/>
      </c>
      <c r="W840">
        <f>IF(selection!H837=0,selection!M837,NA())</f>
        <v/>
      </c>
      <c r="X840">
        <f>IF(selection!H837=0,selection!N837,NA())</f>
        <v/>
      </c>
    </row>
    <row r="841">
      <c r="U841">
        <f>IF(selection!H838=1,selection!M838,NA())</f>
        <v/>
      </c>
      <c r="V841">
        <f>IF(selection!H838=1,selection!N838,NA())</f>
        <v/>
      </c>
      <c r="W841">
        <f>IF(selection!H838=0,selection!M838,NA())</f>
        <v/>
      </c>
      <c r="X841">
        <f>IF(selection!H838=0,selection!N838,NA())</f>
        <v/>
      </c>
    </row>
    <row r="842">
      <c r="U842">
        <f>IF(selection!H839=1,selection!M839,NA())</f>
        <v/>
      </c>
      <c r="V842">
        <f>IF(selection!H839=1,selection!N839,NA())</f>
        <v/>
      </c>
      <c r="W842">
        <f>IF(selection!H839=0,selection!M839,NA())</f>
        <v/>
      </c>
      <c r="X842">
        <f>IF(selection!H839=0,selection!N839,NA())</f>
        <v/>
      </c>
    </row>
    <row r="843">
      <c r="U843">
        <f>IF(selection!H840=1,selection!M840,NA())</f>
        <v/>
      </c>
      <c r="V843">
        <f>IF(selection!H840=1,selection!N840,NA())</f>
        <v/>
      </c>
      <c r="W843">
        <f>IF(selection!H840=0,selection!M840,NA())</f>
        <v/>
      </c>
      <c r="X843">
        <f>IF(selection!H840=0,selection!N840,NA())</f>
        <v/>
      </c>
    </row>
    <row r="844">
      <c r="U844">
        <f>IF(selection!H841=1,selection!M841,NA())</f>
        <v/>
      </c>
      <c r="V844">
        <f>IF(selection!H841=1,selection!N841,NA())</f>
        <v/>
      </c>
      <c r="W844">
        <f>IF(selection!H841=0,selection!M841,NA())</f>
        <v/>
      </c>
      <c r="X844">
        <f>IF(selection!H841=0,selection!N841,NA())</f>
        <v/>
      </c>
    </row>
    <row r="845">
      <c r="U845">
        <f>IF(selection!H842=1,selection!M842,NA())</f>
        <v/>
      </c>
      <c r="V845">
        <f>IF(selection!H842=1,selection!N842,NA())</f>
        <v/>
      </c>
      <c r="W845">
        <f>IF(selection!H842=0,selection!M842,NA())</f>
        <v/>
      </c>
      <c r="X845">
        <f>IF(selection!H842=0,selection!N842,NA())</f>
        <v/>
      </c>
    </row>
    <row r="846">
      <c r="U846">
        <f>IF(selection!H843=1,selection!M843,NA())</f>
        <v/>
      </c>
      <c r="V846">
        <f>IF(selection!H843=1,selection!N843,NA())</f>
        <v/>
      </c>
      <c r="W846">
        <f>IF(selection!H843=0,selection!M843,NA())</f>
        <v/>
      </c>
      <c r="X846">
        <f>IF(selection!H843=0,selection!N843,NA())</f>
        <v/>
      </c>
    </row>
    <row r="847">
      <c r="U847">
        <f>IF(selection!H844=1,selection!M844,NA())</f>
        <v/>
      </c>
      <c r="V847">
        <f>IF(selection!H844=1,selection!N844,NA())</f>
        <v/>
      </c>
      <c r="W847">
        <f>IF(selection!H844=0,selection!M844,NA())</f>
        <v/>
      </c>
      <c r="X847">
        <f>IF(selection!H844=0,selection!N844,NA())</f>
        <v/>
      </c>
    </row>
    <row r="848">
      <c r="U848">
        <f>IF(selection!H845=1,selection!M845,NA())</f>
        <v/>
      </c>
      <c r="V848">
        <f>IF(selection!H845=1,selection!N845,NA())</f>
        <v/>
      </c>
      <c r="W848">
        <f>IF(selection!H845=0,selection!M845,NA())</f>
        <v/>
      </c>
      <c r="X848">
        <f>IF(selection!H845=0,selection!N845,NA())</f>
        <v/>
      </c>
    </row>
    <row r="849">
      <c r="U849">
        <f>IF(selection!H846=1,selection!M846,NA())</f>
        <v/>
      </c>
      <c r="V849">
        <f>IF(selection!H846=1,selection!N846,NA())</f>
        <v/>
      </c>
      <c r="W849">
        <f>IF(selection!H846=0,selection!M846,NA())</f>
        <v/>
      </c>
      <c r="X849">
        <f>IF(selection!H846=0,selection!N846,NA())</f>
        <v/>
      </c>
    </row>
    <row r="850">
      <c r="U850">
        <f>IF(selection!H847=1,selection!M847,NA())</f>
        <v/>
      </c>
      <c r="V850">
        <f>IF(selection!H847=1,selection!N847,NA())</f>
        <v/>
      </c>
      <c r="W850">
        <f>IF(selection!H847=0,selection!M847,NA())</f>
        <v/>
      </c>
      <c r="X850">
        <f>IF(selection!H847=0,selection!N847,NA())</f>
        <v/>
      </c>
    </row>
    <row r="851">
      <c r="U851">
        <f>IF(selection!H848=1,selection!M848,NA())</f>
        <v/>
      </c>
      <c r="V851">
        <f>IF(selection!H848=1,selection!N848,NA())</f>
        <v/>
      </c>
      <c r="W851">
        <f>IF(selection!H848=0,selection!M848,NA())</f>
        <v/>
      </c>
      <c r="X851">
        <f>IF(selection!H848=0,selection!N848,NA())</f>
        <v/>
      </c>
    </row>
    <row r="852">
      <c r="U852">
        <f>IF(selection!H849=1,selection!M849,NA())</f>
        <v/>
      </c>
      <c r="V852">
        <f>IF(selection!H849=1,selection!N849,NA())</f>
        <v/>
      </c>
      <c r="W852">
        <f>IF(selection!H849=0,selection!M849,NA())</f>
        <v/>
      </c>
      <c r="X852">
        <f>IF(selection!H849=0,selection!N849,NA())</f>
        <v/>
      </c>
    </row>
    <row r="853">
      <c r="U853">
        <f>IF(selection!H850=1,selection!M850,NA())</f>
        <v/>
      </c>
      <c r="V853">
        <f>IF(selection!H850=1,selection!N850,NA())</f>
        <v/>
      </c>
      <c r="W853">
        <f>IF(selection!H850=0,selection!M850,NA())</f>
        <v/>
      </c>
      <c r="X853">
        <f>IF(selection!H850=0,selection!N850,NA())</f>
        <v/>
      </c>
    </row>
    <row r="854">
      <c r="U854">
        <f>IF(selection!H851=1,selection!M851,NA())</f>
        <v/>
      </c>
      <c r="V854">
        <f>IF(selection!H851=1,selection!N851,NA())</f>
        <v/>
      </c>
      <c r="W854">
        <f>IF(selection!H851=0,selection!M851,NA())</f>
        <v/>
      </c>
      <c r="X854">
        <f>IF(selection!H851=0,selection!N851,NA())</f>
        <v/>
      </c>
    </row>
    <row r="855">
      <c r="U855">
        <f>IF(selection!H852=1,selection!M852,NA())</f>
        <v/>
      </c>
      <c r="V855">
        <f>IF(selection!H852=1,selection!N852,NA())</f>
        <v/>
      </c>
      <c r="W855">
        <f>IF(selection!H852=0,selection!M852,NA())</f>
        <v/>
      </c>
      <c r="X855">
        <f>IF(selection!H852=0,selection!N852,NA())</f>
        <v/>
      </c>
    </row>
    <row r="856">
      <c r="U856">
        <f>IF(selection!H853=1,selection!M853,NA())</f>
        <v/>
      </c>
      <c r="V856">
        <f>IF(selection!H853=1,selection!N853,NA())</f>
        <v/>
      </c>
      <c r="W856">
        <f>IF(selection!H853=0,selection!M853,NA())</f>
        <v/>
      </c>
      <c r="X856">
        <f>IF(selection!H853=0,selection!N853,NA())</f>
        <v/>
      </c>
    </row>
    <row r="857">
      <c r="U857">
        <f>IF(selection!H854=1,selection!M854,NA())</f>
        <v/>
      </c>
      <c r="V857">
        <f>IF(selection!H854=1,selection!N854,NA())</f>
        <v/>
      </c>
      <c r="W857">
        <f>IF(selection!H854=0,selection!M854,NA())</f>
        <v/>
      </c>
      <c r="X857">
        <f>IF(selection!H854=0,selection!N854,NA())</f>
        <v/>
      </c>
    </row>
    <row r="858">
      <c r="U858">
        <f>IF(selection!H855=1,selection!M855,NA())</f>
        <v/>
      </c>
      <c r="V858">
        <f>IF(selection!H855=1,selection!N855,NA())</f>
        <v/>
      </c>
      <c r="W858">
        <f>IF(selection!H855=0,selection!M855,NA())</f>
        <v/>
      </c>
      <c r="X858">
        <f>IF(selection!H855=0,selection!N855,NA())</f>
        <v/>
      </c>
    </row>
    <row r="859">
      <c r="U859">
        <f>IF(selection!H856=1,selection!M856,NA())</f>
        <v/>
      </c>
      <c r="V859">
        <f>IF(selection!H856=1,selection!N856,NA())</f>
        <v/>
      </c>
      <c r="W859">
        <f>IF(selection!H856=0,selection!M856,NA())</f>
        <v/>
      </c>
      <c r="X859">
        <f>IF(selection!H856=0,selection!N856,NA())</f>
        <v/>
      </c>
    </row>
    <row r="860">
      <c r="U860">
        <f>IF(selection!H857=1,selection!M857,NA())</f>
        <v/>
      </c>
      <c r="V860">
        <f>IF(selection!H857=1,selection!N857,NA())</f>
        <v/>
      </c>
      <c r="W860">
        <f>IF(selection!H857=0,selection!M857,NA())</f>
        <v/>
      </c>
      <c r="X860">
        <f>IF(selection!H857=0,selection!N857,NA())</f>
        <v/>
      </c>
    </row>
    <row r="861">
      <c r="U861">
        <f>IF(selection!H858=1,selection!M858,NA())</f>
        <v/>
      </c>
      <c r="V861">
        <f>IF(selection!H858=1,selection!N858,NA())</f>
        <v/>
      </c>
      <c r="W861">
        <f>IF(selection!H858=0,selection!M858,NA())</f>
        <v/>
      </c>
      <c r="X861">
        <f>IF(selection!H858=0,selection!N858,NA())</f>
        <v/>
      </c>
    </row>
    <row r="862">
      <c r="U862">
        <f>IF(selection!H859=1,selection!M859,NA())</f>
        <v/>
      </c>
      <c r="V862">
        <f>IF(selection!H859=1,selection!N859,NA())</f>
        <v/>
      </c>
      <c r="W862">
        <f>IF(selection!H859=0,selection!M859,NA())</f>
        <v/>
      </c>
      <c r="X862">
        <f>IF(selection!H859=0,selection!N859,NA())</f>
        <v/>
      </c>
    </row>
    <row r="863">
      <c r="U863">
        <f>IF(selection!H860=1,selection!M860,NA())</f>
        <v/>
      </c>
      <c r="V863">
        <f>IF(selection!H860=1,selection!N860,NA())</f>
        <v/>
      </c>
      <c r="W863">
        <f>IF(selection!H860=0,selection!M860,NA())</f>
        <v/>
      </c>
      <c r="X863">
        <f>IF(selection!H860=0,selection!N860,NA())</f>
        <v/>
      </c>
    </row>
    <row r="864">
      <c r="U864">
        <f>IF(selection!H861=1,selection!M861,NA())</f>
        <v/>
      </c>
      <c r="V864">
        <f>IF(selection!H861=1,selection!N861,NA())</f>
        <v/>
      </c>
      <c r="W864">
        <f>IF(selection!H861=0,selection!M861,NA())</f>
        <v/>
      </c>
      <c r="X864">
        <f>IF(selection!H861=0,selection!N861,NA())</f>
        <v/>
      </c>
    </row>
    <row r="865">
      <c r="U865">
        <f>IF(selection!H862=1,selection!M862,NA())</f>
        <v/>
      </c>
      <c r="V865">
        <f>IF(selection!H862=1,selection!N862,NA())</f>
        <v/>
      </c>
      <c r="W865">
        <f>IF(selection!H862=0,selection!M862,NA())</f>
        <v/>
      </c>
      <c r="X865">
        <f>IF(selection!H862=0,selection!N862,NA())</f>
        <v/>
      </c>
    </row>
    <row r="866">
      <c r="U866">
        <f>IF(selection!H863=1,selection!M863,NA())</f>
        <v/>
      </c>
      <c r="V866">
        <f>IF(selection!H863=1,selection!N863,NA())</f>
        <v/>
      </c>
      <c r="W866">
        <f>IF(selection!H863=0,selection!M863,NA())</f>
        <v/>
      </c>
      <c r="X866">
        <f>IF(selection!H863=0,selection!N863,NA())</f>
        <v/>
      </c>
    </row>
    <row r="867">
      <c r="U867">
        <f>IF(selection!H864=1,selection!M864,NA())</f>
        <v/>
      </c>
      <c r="V867">
        <f>IF(selection!H864=1,selection!N864,NA())</f>
        <v/>
      </c>
      <c r="W867">
        <f>IF(selection!H864=0,selection!M864,NA())</f>
        <v/>
      </c>
      <c r="X867">
        <f>IF(selection!H864=0,selection!N864,NA())</f>
        <v/>
      </c>
    </row>
    <row r="868">
      <c r="U868">
        <f>IF(selection!H865=1,selection!M865,NA())</f>
        <v/>
      </c>
      <c r="V868">
        <f>IF(selection!H865=1,selection!N865,NA())</f>
        <v/>
      </c>
      <c r="W868">
        <f>IF(selection!H865=0,selection!M865,NA())</f>
        <v/>
      </c>
      <c r="X868">
        <f>IF(selection!H865=0,selection!N865,NA())</f>
        <v/>
      </c>
    </row>
    <row r="869">
      <c r="U869">
        <f>IF(selection!H866=1,selection!M866,NA())</f>
        <v/>
      </c>
      <c r="V869">
        <f>IF(selection!H866=1,selection!N866,NA())</f>
        <v/>
      </c>
      <c r="W869">
        <f>IF(selection!H866=0,selection!M866,NA())</f>
        <v/>
      </c>
      <c r="X869">
        <f>IF(selection!H866=0,selection!N866,NA())</f>
        <v/>
      </c>
    </row>
    <row r="870">
      <c r="U870">
        <f>IF(selection!H867=1,selection!M867,NA())</f>
        <v/>
      </c>
      <c r="V870">
        <f>IF(selection!H867=1,selection!N867,NA())</f>
        <v/>
      </c>
      <c r="W870">
        <f>IF(selection!H867=0,selection!M867,NA())</f>
        <v/>
      </c>
      <c r="X870">
        <f>IF(selection!H867=0,selection!N867,NA())</f>
        <v/>
      </c>
    </row>
    <row r="871">
      <c r="U871">
        <f>IF(selection!H868=1,selection!M868,NA())</f>
        <v/>
      </c>
      <c r="V871">
        <f>IF(selection!H868=1,selection!N868,NA())</f>
        <v/>
      </c>
      <c r="W871">
        <f>IF(selection!H868=0,selection!M868,NA())</f>
        <v/>
      </c>
      <c r="X871">
        <f>IF(selection!H868=0,selection!N868,NA())</f>
        <v/>
      </c>
    </row>
    <row r="872">
      <c r="U872">
        <f>IF(selection!H869=1,selection!M869,NA())</f>
        <v/>
      </c>
      <c r="V872">
        <f>IF(selection!H869=1,selection!N869,NA())</f>
        <v/>
      </c>
      <c r="W872">
        <f>IF(selection!H869=0,selection!M869,NA())</f>
        <v/>
      </c>
      <c r="X872">
        <f>IF(selection!H869=0,selection!N869,NA())</f>
        <v/>
      </c>
    </row>
    <row r="873">
      <c r="U873">
        <f>IF(selection!H870=1,selection!M870,NA())</f>
        <v/>
      </c>
      <c r="V873">
        <f>IF(selection!H870=1,selection!N870,NA())</f>
        <v/>
      </c>
      <c r="W873">
        <f>IF(selection!H870=0,selection!M870,NA())</f>
        <v/>
      </c>
      <c r="X873">
        <f>IF(selection!H870=0,selection!N870,NA())</f>
        <v/>
      </c>
    </row>
    <row r="874">
      <c r="U874">
        <f>IF(selection!H871=1,selection!M871,NA())</f>
        <v/>
      </c>
      <c r="V874">
        <f>IF(selection!H871=1,selection!N871,NA())</f>
        <v/>
      </c>
      <c r="W874">
        <f>IF(selection!H871=0,selection!M871,NA())</f>
        <v/>
      </c>
      <c r="X874">
        <f>IF(selection!H871=0,selection!N871,NA())</f>
        <v/>
      </c>
    </row>
    <row r="875">
      <c r="U875">
        <f>IF(selection!H872=1,selection!M872,NA())</f>
        <v/>
      </c>
      <c r="V875">
        <f>IF(selection!H872=1,selection!N872,NA())</f>
        <v/>
      </c>
      <c r="W875">
        <f>IF(selection!H872=0,selection!M872,NA())</f>
        <v/>
      </c>
      <c r="X875">
        <f>IF(selection!H872=0,selection!N872,NA())</f>
        <v/>
      </c>
    </row>
    <row r="876">
      <c r="U876">
        <f>IF(selection!H873=1,selection!M873,NA())</f>
        <v/>
      </c>
      <c r="V876">
        <f>IF(selection!H873=1,selection!N873,NA())</f>
        <v/>
      </c>
      <c r="W876">
        <f>IF(selection!H873=0,selection!M873,NA())</f>
        <v/>
      </c>
      <c r="X876">
        <f>IF(selection!H873=0,selection!N873,NA())</f>
        <v/>
      </c>
    </row>
    <row r="877">
      <c r="U877">
        <f>IF(selection!H874=1,selection!M874,NA())</f>
        <v/>
      </c>
      <c r="V877">
        <f>IF(selection!H874=1,selection!N874,NA())</f>
        <v/>
      </c>
      <c r="W877">
        <f>IF(selection!H874=0,selection!M874,NA())</f>
        <v/>
      </c>
      <c r="X877">
        <f>IF(selection!H874=0,selection!N874,NA())</f>
        <v/>
      </c>
    </row>
    <row r="878">
      <c r="U878">
        <f>IF(selection!H875=1,selection!M875,NA())</f>
        <v/>
      </c>
      <c r="V878">
        <f>IF(selection!H875=1,selection!N875,NA())</f>
        <v/>
      </c>
      <c r="W878">
        <f>IF(selection!H875=0,selection!M875,NA())</f>
        <v/>
      </c>
      <c r="X878">
        <f>IF(selection!H875=0,selection!N875,NA())</f>
        <v/>
      </c>
    </row>
    <row r="879">
      <c r="U879">
        <f>IF(selection!H876=1,selection!M876,NA())</f>
        <v/>
      </c>
      <c r="V879">
        <f>IF(selection!H876=1,selection!N876,NA())</f>
        <v/>
      </c>
      <c r="W879">
        <f>IF(selection!H876=0,selection!M876,NA())</f>
        <v/>
      </c>
      <c r="X879">
        <f>IF(selection!H876=0,selection!N876,NA())</f>
        <v/>
      </c>
    </row>
    <row r="880">
      <c r="U880">
        <f>IF(selection!H877=1,selection!M877,NA())</f>
        <v/>
      </c>
      <c r="V880">
        <f>IF(selection!H877=1,selection!N877,NA())</f>
        <v/>
      </c>
      <c r="W880">
        <f>IF(selection!H877=0,selection!M877,NA())</f>
        <v/>
      </c>
      <c r="X880">
        <f>IF(selection!H877=0,selection!N877,NA())</f>
        <v/>
      </c>
    </row>
    <row r="881">
      <c r="U881">
        <f>IF(selection!H878=1,selection!M878,NA())</f>
        <v/>
      </c>
      <c r="V881">
        <f>IF(selection!H878=1,selection!N878,NA())</f>
        <v/>
      </c>
      <c r="W881">
        <f>IF(selection!H878=0,selection!M878,NA())</f>
        <v/>
      </c>
      <c r="X881">
        <f>IF(selection!H878=0,selection!N878,NA())</f>
        <v/>
      </c>
    </row>
    <row r="882">
      <c r="U882">
        <f>IF(selection!H879=1,selection!M879,NA())</f>
        <v/>
      </c>
      <c r="V882">
        <f>IF(selection!H879=1,selection!N879,NA())</f>
        <v/>
      </c>
      <c r="W882">
        <f>IF(selection!H879=0,selection!M879,NA())</f>
        <v/>
      </c>
      <c r="X882">
        <f>IF(selection!H879=0,selection!N879,NA())</f>
        <v/>
      </c>
    </row>
    <row r="883">
      <c r="U883">
        <f>IF(selection!H880=1,selection!M880,NA())</f>
        <v/>
      </c>
      <c r="V883">
        <f>IF(selection!H880=1,selection!N880,NA())</f>
        <v/>
      </c>
      <c r="W883">
        <f>IF(selection!H880=0,selection!M880,NA())</f>
        <v/>
      </c>
      <c r="X883">
        <f>IF(selection!H880=0,selection!N880,NA())</f>
        <v/>
      </c>
    </row>
    <row r="884">
      <c r="U884">
        <f>IF(selection!H881=1,selection!M881,NA())</f>
        <v/>
      </c>
      <c r="V884">
        <f>IF(selection!H881=1,selection!N881,NA())</f>
        <v/>
      </c>
      <c r="W884">
        <f>IF(selection!H881=0,selection!M881,NA())</f>
        <v/>
      </c>
      <c r="X884">
        <f>IF(selection!H881=0,selection!N881,NA())</f>
        <v/>
      </c>
    </row>
    <row r="885">
      <c r="U885">
        <f>IF(selection!H882=1,selection!M882,NA())</f>
        <v/>
      </c>
      <c r="V885">
        <f>IF(selection!H882=1,selection!N882,NA())</f>
        <v/>
      </c>
      <c r="W885">
        <f>IF(selection!H882=0,selection!M882,NA())</f>
        <v/>
      </c>
      <c r="X885">
        <f>IF(selection!H882=0,selection!N882,NA())</f>
        <v/>
      </c>
    </row>
    <row r="886">
      <c r="U886">
        <f>IF(selection!H883=1,selection!M883,NA())</f>
        <v/>
      </c>
      <c r="V886">
        <f>IF(selection!H883=1,selection!N883,NA())</f>
        <v/>
      </c>
      <c r="W886">
        <f>IF(selection!H883=0,selection!M883,NA())</f>
        <v/>
      </c>
      <c r="X886">
        <f>IF(selection!H883=0,selection!N883,NA())</f>
        <v/>
      </c>
    </row>
    <row r="887">
      <c r="U887">
        <f>IF(selection!H884=1,selection!M884,NA())</f>
        <v/>
      </c>
      <c r="V887">
        <f>IF(selection!H884=1,selection!N884,NA())</f>
        <v/>
      </c>
      <c r="W887">
        <f>IF(selection!H884=0,selection!M884,NA())</f>
        <v/>
      </c>
      <c r="X887">
        <f>IF(selection!H884=0,selection!N884,NA())</f>
        <v/>
      </c>
    </row>
    <row r="888">
      <c r="U888">
        <f>IF(selection!H885=1,selection!M885,NA())</f>
        <v/>
      </c>
      <c r="V888">
        <f>IF(selection!H885=1,selection!N885,NA())</f>
        <v/>
      </c>
      <c r="W888">
        <f>IF(selection!H885=0,selection!M885,NA())</f>
        <v/>
      </c>
      <c r="X888">
        <f>IF(selection!H885=0,selection!N885,NA())</f>
        <v/>
      </c>
    </row>
    <row r="889">
      <c r="U889">
        <f>IF(selection!H886=1,selection!M886,NA())</f>
        <v/>
      </c>
      <c r="V889">
        <f>IF(selection!H886=1,selection!N886,NA())</f>
        <v/>
      </c>
      <c r="W889">
        <f>IF(selection!H886=0,selection!M886,NA())</f>
        <v/>
      </c>
      <c r="X889">
        <f>IF(selection!H886=0,selection!N886,NA())</f>
        <v/>
      </c>
    </row>
    <row r="890">
      <c r="U890">
        <f>IF(selection!H887=1,selection!M887,NA())</f>
        <v/>
      </c>
      <c r="V890">
        <f>IF(selection!H887=1,selection!N887,NA())</f>
        <v/>
      </c>
      <c r="W890">
        <f>IF(selection!H887=0,selection!M887,NA())</f>
        <v/>
      </c>
      <c r="X890">
        <f>IF(selection!H887=0,selection!N887,NA())</f>
        <v/>
      </c>
    </row>
    <row r="891">
      <c r="U891">
        <f>IF(selection!H888=1,selection!M888,NA())</f>
        <v/>
      </c>
      <c r="V891">
        <f>IF(selection!H888=1,selection!N888,NA())</f>
        <v/>
      </c>
      <c r="W891">
        <f>IF(selection!H888=0,selection!M888,NA())</f>
        <v/>
      </c>
      <c r="X891">
        <f>IF(selection!H888=0,selection!N888,NA())</f>
        <v/>
      </c>
    </row>
    <row r="892">
      <c r="U892">
        <f>IF(selection!H889=1,selection!M889,NA())</f>
        <v/>
      </c>
      <c r="V892">
        <f>IF(selection!H889=1,selection!N889,NA())</f>
        <v/>
      </c>
      <c r="W892">
        <f>IF(selection!H889=0,selection!M889,NA())</f>
        <v/>
      </c>
      <c r="X892">
        <f>IF(selection!H889=0,selection!N889,NA())</f>
        <v/>
      </c>
    </row>
    <row r="893">
      <c r="U893">
        <f>IF(selection!H890=1,selection!M890,NA())</f>
        <v/>
      </c>
      <c r="V893">
        <f>IF(selection!H890=1,selection!N890,NA())</f>
        <v/>
      </c>
      <c r="W893">
        <f>IF(selection!H890=0,selection!M890,NA())</f>
        <v/>
      </c>
      <c r="X893">
        <f>IF(selection!H890=0,selection!N890,NA())</f>
        <v/>
      </c>
    </row>
    <row r="894">
      <c r="U894">
        <f>IF(selection!H891=1,selection!M891,NA())</f>
        <v/>
      </c>
      <c r="V894">
        <f>IF(selection!H891=1,selection!N891,NA())</f>
        <v/>
      </c>
      <c r="W894">
        <f>IF(selection!H891=0,selection!M891,NA())</f>
        <v/>
      </c>
      <c r="X894">
        <f>IF(selection!H891=0,selection!N891,NA())</f>
        <v/>
      </c>
    </row>
    <row r="895">
      <c r="U895">
        <f>IF(selection!H892=1,selection!M892,NA())</f>
        <v/>
      </c>
      <c r="V895">
        <f>IF(selection!H892=1,selection!N892,NA())</f>
        <v/>
      </c>
      <c r="W895">
        <f>IF(selection!H892=0,selection!M892,NA())</f>
        <v/>
      </c>
      <c r="X895">
        <f>IF(selection!H892=0,selection!N892,NA())</f>
        <v/>
      </c>
    </row>
    <row r="896">
      <c r="U896">
        <f>IF(selection!H893=1,selection!M893,NA())</f>
        <v/>
      </c>
      <c r="V896">
        <f>IF(selection!H893=1,selection!N893,NA())</f>
        <v/>
      </c>
      <c r="W896">
        <f>IF(selection!H893=0,selection!M893,NA())</f>
        <v/>
      </c>
      <c r="X896">
        <f>IF(selection!H893=0,selection!N893,NA())</f>
        <v/>
      </c>
    </row>
    <row r="897">
      <c r="U897">
        <f>IF(selection!H894=1,selection!M894,NA())</f>
        <v/>
      </c>
      <c r="V897">
        <f>IF(selection!H894=1,selection!N894,NA())</f>
        <v/>
      </c>
      <c r="W897">
        <f>IF(selection!H894=0,selection!M894,NA())</f>
        <v/>
      </c>
      <c r="X897">
        <f>IF(selection!H894=0,selection!N894,NA())</f>
        <v/>
      </c>
    </row>
    <row r="898">
      <c r="U898">
        <f>IF(selection!H895=1,selection!M895,NA())</f>
        <v/>
      </c>
      <c r="V898">
        <f>IF(selection!H895=1,selection!N895,NA())</f>
        <v/>
      </c>
      <c r="W898">
        <f>IF(selection!H895=0,selection!M895,NA())</f>
        <v/>
      </c>
      <c r="X898">
        <f>IF(selection!H895=0,selection!N895,NA())</f>
        <v/>
      </c>
    </row>
    <row r="899">
      <c r="U899">
        <f>IF(selection!H896=1,selection!M896,NA())</f>
        <v/>
      </c>
      <c r="V899">
        <f>IF(selection!H896=1,selection!N896,NA())</f>
        <v/>
      </c>
      <c r="W899">
        <f>IF(selection!H896=0,selection!M896,NA())</f>
        <v/>
      </c>
      <c r="X899">
        <f>IF(selection!H896=0,selection!N896,NA())</f>
        <v/>
      </c>
    </row>
    <row r="900">
      <c r="U900">
        <f>IF(selection!H897=1,selection!M897,NA())</f>
        <v/>
      </c>
      <c r="V900">
        <f>IF(selection!H897=1,selection!N897,NA())</f>
        <v/>
      </c>
      <c r="W900">
        <f>IF(selection!H897=0,selection!M897,NA())</f>
        <v/>
      </c>
      <c r="X900">
        <f>IF(selection!H897=0,selection!N897,NA())</f>
        <v/>
      </c>
    </row>
    <row r="901">
      <c r="U901">
        <f>IF(selection!H898=1,selection!M898,NA())</f>
        <v/>
      </c>
      <c r="V901">
        <f>IF(selection!H898=1,selection!N898,NA())</f>
        <v/>
      </c>
      <c r="W901">
        <f>IF(selection!H898=0,selection!M898,NA())</f>
        <v/>
      </c>
      <c r="X901">
        <f>IF(selection!H898=0,selection!N898,NA())</f>
        <v/>
      </c>
    </row>
    <row r="902">
      <c r="U902">
        <f>IF(selection!H899=1,selection!M899,NA())</f>
        <v/>
      </c>
      <c r="V902">
        <f>IF(selection!H899=1,selection!N899,NA())</f>
        <v/>
      </c>
      <c r="W902">
        <f>IF(selection!H899=0,selection!M899,NA())</f>
        <v/>
      </c>
      <c r="X902">
        <f>IF(selection!H899=0,selection!N899,NA())</f>
        <v/>
      </c>
    </row>
    <row r="903">
      <c r="U903">
        <f>IF(selection!H900=1,selection!M900,NA())</f>
        <v/>
      </c>
      <c r="V903">
        <f>IF(selection!H900=1,selection!N900,NA())</f>
        <v/>
      </c>
      <c r="W903">
        <f>IF(selection!H900=0,selection!M900,NA())</f>
        <v/>
      </c>
      <c r="X903">
        <f>IF(selection!H900=0,selection!N900,NA())</f>
        <v/>
      </c>
    </row>
    <row r="904">
      <c r="U904">
        <f>IF(selection!H901=1,selection!M901,NA())</f>
        <v/>
      </c>
      <c r="V904">
        <f>IF(selection!H901=1,selection!N901,NA())</f>
        <v/>
      </c>
      <c r="W904">
        <f>IF(selection!H901=0,selection!M901,NA())</f>
        <v/>
      </c>
      <c r="X904">
        <f>IF(selection!H901=0,selection!N901,NA())</f>
        <v/>
      </c>
    </row>
    <row r="905">
      <c r="U905">
        <f>IF(selection!H902=1,selection!M902,NA())</f>
        <v/>
      </c>
      <c r="V905">
        <f>IF(selection!H902=1,selection!N902,NA())</f>
        <v/>
      </c>
      <c r="W905">
        <f>IF(selection!H902=0,selection!M902,NA())</f>
        <v/>
      </c>
      <c r="X905">
        <f>IF(selection!H902=0,selection!N902,NA())</f>
        <v/>
      </c>
    </row>
    <row r="906">
      <c r="U906">
        <f>IF(selection!H903=1,selection!M903,NA())</f>
        <v/>
      </c>
      <c r="V906">
        <f>IF(selection!H903=1,selection!N903,NA())</f>
        <v/>
      </c>
      <c r="W906">
        <f>IF(selection!H903=0,selection!M903,NA())</f>
        <v/>
      </c>
      <c r="X906">
        <f>IF(selection!H903=0,selection!N903,NA())</f>
        <v/>
      </c>
    </row>
    <row r="907">
      <c r="U907">
        <f>IF(selection!H904=1,selection!M904,NA())</f>
        <v/>
      </c>
      <c r="V907">
        <f>IF(selection!H904=1,selection!N904,NA())</f>
        <v/>
      </c>
      <c r="W907">
        <f>IF(selection!H904=0,selection!M904,NA())</f>
        <v/>
      </c>
      <c r="X907">
        <f>IF(selection!H904=0,selection!N904,NA())</f>
        <v/>
      </c>
    </row>
    <row r="908">
      <c r="U908">
        <f>IF(selection!H905=1,selection!M905,NA())</f>
        <v/>
      </c>
      <c r="V908">
        <f>IF(selection!H905=1,selection!N905,NA())</f>
        <v/>
      </c>
      <c r="W908">
        <f>IF(selection!H905=0,selection!M905,NA())</f>
        <v/>
      </c>
      <c r="X908">
        <f>IF(selection!H905=0,selection!N905,NA())</f>
        <v/>
      </c>
    </row>
    <row r="909">
      <c r="U909">
        <f>IF(selection!H906=1,selection!M906,NA())</f>
        <v/>
      </c>
      <c r="V909">
        <f>IF(selection!H906=1,selection!N906,NA())</f>
        <v/>
      </c>
      <c r="W909">
        <f>IF(selection!H906=0,selection!M906,NA())</f>
        <v/>
      </c>
      <c r="X909">
        <f>IF(selection!H906=0,selection!N906,NA())</f>
        <v/>
      </c>
    </row>
    <row r="910">
      <c r="U910">
        <f>IF(selection!H907=1,selection!M907,NA())</f>
        <v/>
      </c>
      <c r="V910">
        <f>IF(selection!H907=1,selection!N907,NA())</f>
        <v/>
      </c>
      <c r="W910">
        <f>IF(selection!H907=0,selection!M907,NA())</f>
        <v/>
      </c>
      <c r="X910">
        <f>IF(selection!H907=0,selection!N907,NA())</f>
        <v/>
      </c>
    </row>
    <row r="911">
      <c r="U911">
        <f>IF(selection!H908=1,selection!M908,NA())</f>
        <v/>
      </c>
      <c r="V911">
        <f>IF(selection!H908=1,selection!N908,NA())</f>
        <v/>
      </c>
      <c r="W911">
        <f>IF(selection!H908=0,selection!M908,NA())</f>
        <v/>
      </c>
      <c r="X911">
        <f>IF(selection!H908=0,selection!N908,NA())</f>
        <v/>
      </c>
    </row>
    <row r="912">
      <c r="U912">
        <f>IF(selection!H909=1,selection!M909,NA())</f>
        <v/>
      </c>
      <c r="V912">
        <f>IF(selection!H909=1,selection!N909,NA())</f>
        <v/>
      </c>
      <c r="W912">
        <f>IF(selection!H909=0,selection!M909,NA())</f>
        <v/>
      </c>
      <c r="X912">
        <f>IF(selection!H909=0,selection!N909,NA())</f>
        <v/>
      </c>
    </row>
    <row r="913">
      <c r="U913">
        <f>IF(selection!H910=1,selection!M910,NA())</f>
        <v/>
      </c>
      <c r="V913">
        <f>IF(selection!H910=1,selection!N910,NA())</f>
        <v/>
      </c>
      <c r="W913">
        <f>IF(selection!H910=0,selection!M910,NA())</f>
        <v/>
      </c>
      <c r="X913">
        <f>IF(selection!H910=0,selection!N910,NA())</f>
        <v/>
      </c>
    </row>
    <row r="914">
      <c r="U914">
        <f>IF(selection!H911=1,selection!M911,NA())</f>
        <v/>
      </c>
      <c r="V914">
        <f>IF(selection!H911=1,selection!N911,NA())</f>
        <v/>
      </c>
      <c r="W914">
        <f>IF(selection!H911=0,selection!M911,NA())</f>
        <v/>
      </c>
      <c r="X914">
        <f>IF(selection!H911=0,selection!N911,NA())</f>
        <v/>
      </c>
    </row>
    <row r="915">
      <c r="U915">
        <f>IF(selection!H912=1,selection!M912,NA())</f>
        <v/>
      </c>
      <c r="V915">
        <f>IF(selection!H912=1,selection!N912,NA())</f>
        <v/>
      </c>
      <c r="W915">
        <f>IF(selection!H912=0,selection!M912,NA())</f>
        <v/>
      </c>
      <c r="X915">
        <f>IF(selection!H912=0,selection!N912,NA())</f>
        <v/>
      </c>
    </row>
    <row r="916">
      <c r="U916">
        <f>IF(selection!H913=1,selection!M913,NA())</f>
        <v/>
      </c>
      <c r="V916">
        <f>IF(selection!H913=1,selection!N913,NA())</f>
        <v/>
      </c>
      <c r="W916">
        <f>IF(selection!H913=0,selection!M913,NA())</f>
        <v/>
      </c>
      <c r="X916">
        <f>IF(selection!H913=0,selection!N913,NA())</f>
        <v/>
      </c>
    </row>
    <row r="917">
      <c r="U917">
        <f>IF(selection!H914=1,selection!M914,NA())</f>
        <v/>
      </c>
      <c r="V917">
        <f>IF(selection!H914=1,selection!N914,NA())</f>
        <v/>
      </c>
      <c r="W917">
        <f>IF(selection!H914=0,selection!M914,NA())</f>
        <v/>
      </c>
      <c r="X917">
        <f>IF(selection!H914=0,selection!N914,NA())</f>
        <v/>
      </c>
    </row>
    <row r="918">
      <c r="U918">
        <f>IF(selection!H915=1,selection!M915,NA())</f>
        <v/>
      </c>
      <c r="V918">
        <f>IF(selection!H915=1,selection!N915,NA())</f>
        <v/>
      </c>
      <c r="W918">
        <f>IF(selection!H915=0,selection!M915,NA())</f>
        <v/>
      </c>
      <c r="X918">
        <f>IF(selection!H915=0,selection!N915,NA())</f>
        <v/>
      </c>
    </row>
    <row r="919">
      <c r="U919">
        <f>IF(selection!H916=1,selection!M916,NA())</f>
        <v/>
      </c>
      <c r="V919">
        <f>IF(selection!H916=1,selection!N916,NA())</f>
        <v/>
      </c>
      <c r="W919">
        <f>IF(selection!H916=0,selection!M916,NA())</f>
        <v/>
      </c>
      <c r="X919">
        <f>IF(selection!H916=0,selection!N916,NA())</f>
        <v/>
      </c>
    </row>
    <row r="920">
      <c r="U920">
        <f>IF(selection!H917=1,selection!M917,NA())</f>
        <v/>
      </c>
      <c r="V920">
        <f>IF(selection!H917=1,selection!N917,NA())</f>
        <v/>
      </c>
      <c r="W920">
        <f>IF(selection!H917=0,selection!M917,NA())</f>
        <v/>
      </c>
      <c r="X920">
        <f>IF(selection!H917=0,selection!N917,NA())</f>
        <v/>
      </c>
    </row>
    <row r="921">
      <c r="U921">
        <f>IF(selection!H918=1,selection!M918,NA())</f>
        <v/>
      </c>
      <c r="V921">
        <f>IF(selection!H918=1,selection!N918,NA())</f>
        <v/>
      </c>
      <c r="W921">
        <f>IF(selection!H918=0,selection!M918,NA())</f>
        <v/>
      </c>
      <c r="X921">
        <f>IF(selection!H918=0,selection!N918,NA())</f>
        <v/>
      </c>
    </row>
    <row r="922">
      <c r="U922">
        <f>IF(selection!H919=1,selection!M919,NA())</f>
        <v/>
      </c>
      <c r="V922">
        <f>IF(selection!H919=1,selection!N919,NA())</f>
        <v/>
      </c>
      <c r="W922">
        <f>IF(selection!H919=0,selection!M919,NA())</f>
        <v/>
      </c>
      <c r="X922">
        <f>IF(selection!H919=0,selection!N919,NA())</f>
        <v/>
      </c>
    </row>
    <row r="923">
      <c r="U923">
        <f>IF(selection!H920=1,selection!M920,NA())</f>
        <v/>
      </c>
      <c r="V923">
        <f>IF(selection!H920=1,selection!N920,NA())</f>
        <v/>
      </c>
      <c r="W923">
        <f>IF(selection!H920=0,selection!M920,NA())</f>
        <v/>
      </c>
      <c r="X923">
        <f>IF(selection!H920=0,selection!N920,NA())</f>
        <v/>
      </c>
    </row>
    <row r="924">
      <c r="U924">
        <f>IF(selection!H921=1,selection!M921,NA())</f>
        <v/>
      </c>
      <c r="V924">
        <f>IF(selection!H921=1,selection!N921,NA())</f>
        <v/>
      </c>
      <c r="W924">
        <f>IF(selection!H921=0,selection!M921,NA())</f>
        <v/>
      </c>
      <c r="X924">
        <f>IF(selection!H921=0,selection!N921,NA())</f>
        <v/>
      </c>
    </row>
    <row r="925">
      <c r="U925">
        <f>IF(selection!H922=1,selection!M922,NA())</f>
        <v/>
      </c>
      <c r="V925">
        <f>IF(selection!H922=1,selection!N922,NA())</f>
        <v/>
      </c>
      <c r="W925">
        <f>IF(selection!H922=0,selection!M922,NA())</f>
        <v/>
      </c>
      <c r="X925">
        <f>IF(selection!H922=0,selection!N922,NA())</f>
        <v/>
      </c>
    </row>
    <row r="926">
      <c r="U926">
        <f>IF(selection!H923=1,selection!M923,NA())</f>
        <v/>
      </c>
      <c r="V926">
        <f>IF(selection!H923=1,selection!N923,NA())</f>
        <v/>
      </c>
      <c r="W926">
        <f>IF(selection!H923=0,selection!M923,NA())</f>
        <v/>
      </c>
      <c r="X926">
        <f>IF(selection!H923=0,selection!N923,NA())</f>
        <v/>
      </c>
    </row>
    <row r="927">
      <c r="U927">
        <f>IF(selection!H924=1,selection!M924,NA())</f>
        <v/>
      </c>
      <c r="V927">
        <f>IF(selection!H924=1,selection!N924,NA())</f>
        <v/>
      </c>
      <c r="W927">
        <f>IF(selection!H924=0,selection!M924,NA())</f>
        <v/>
      </c>
      <c r="X927">
        <f>IF(selection!H924=0,selection!N924,NA())</f>
        <v/>
      </c>
    </row>
    <row r="928">
      <c r="U928">
        <f>IF(selection!H925=1,selection!M925,NA())</f>
        <v/>
      </c>
      <c r="V928">
        <f>IF(selection!H925=1,selection!N925,NA())</f>
        <v/>
      </c>
      <c r="W928">
        <f>IF(selection!H925=0,selection!M925,NA())</f>
        <v/>
      </c>
      <c r="X928">
        <f>IF(selection!H925=0,selection!N925,NA())</f>
        <v/>
      </c>
    </row>
    <row r="929">
      <c r="U929">
        <f>IF(selection!H926=1,selection!M926,NA())</f>
        <v/>
      </c>
      <c r="V929">
        <f>IF(selection!H926=1,selection!N926,NA())</f>
        <v/>
      </c>
      <c r="W929">
        <f>IF(selection!H926=0,selection!M926,NA())</f>
        <v/>
      </c>
      <c r="X929">
        <f>IF(selection!H926=0,selection!N926,NA())</f>
        <v/>
      </c>
    </row>
    <row r="930">
      <c r="U930">
        <f>IF(selection!H927=1,selection!M927,NA())</f>
        <v/>
      </c>
      <c r="V930">
        <f>IF(selection!H927=1,selection!N927,NA())</f>
        <v/>
      </c>
      <c r="W930">
        <f>IF(selection!H927=0,selection!M927,NA())</f>
        <v/>
      </c>
      <c r="X930">
        <f>IF(selection!H927=0,selection!N927,NA())</f>
        <v/>
      </c>
    </row>
    <row r="931">
      <c r="U931">
        <f>IF(selection!H928=1,selection!M928,NA())</f>
        <v/>
      </c>
      <c r="V931">
        <f>IF(selection!H928=1,selection!N928,NA())</f>
        <v/>
      </c>
      <c r="W931">
        <f>IF(selection!H928=0,selection!M928,NA())</f>
        <v/>
      </c>
      <c r="X931">
        <f>IF(selection!H928=0,selection!N928,NA())</f>
        <v/>
      </c>
    </row>
    <row r="932">
      <c r="U932">
        <f>IF(selection!H929=1,selection!M929,NA())</f>
        <v/>
      </c>
      <c r="V932">
        <f>IF(selection!H929=1,selection!N929,NA())</f>
        <v/>
      </c>
      <c r="W932">
        <f>IF(selection!H929=0,selection!M929,NA())</f>
        <v/>
      </c>
      <c r="X932">
        <f>IF(selection!H929=0,selection!N929,NA())</f>
        <v/>
      </c>
    </row>
    <row r="933">
      <c r="U933">
        <f>IF(selection!H930=1,selection!M930,NA())</f>
        <v/>
      </c>
      <c r="V933">
        <f>IF(selection!H930=1,selection!N930,NA())</f>
        <v/>
      </c>
      <c r="W933">
        <f>IF(selection!H930=0,selection!M930,NA())</f>
        <v/>
      </c>
      <c r="X933">
        <f>IF(selection!H930=0,selection!N930,NA())</f>
        <v/>
      </c>
    </row>
    <row r="934">
      <c r="U934">
        <f>IF(selection!H931=1,selection!M931,NA())</f>
        <v/>
      </c>
      <c r="V934">
        <f>IF(selection!H931=1,selection!N931,NA())</f>
        <v/>
      </c>
      <c r="W934">
        <f>IF(selection!H931=0,selection!M931,NA())</f>
        <v/>
      </c>
      <c r="X934">
        <f>IF(selection!H931=0,selection!N931,NA())</f>
        <v/>
      </c>
    </row>
    <row r="935">
      <c r="U935">
        <f>IF(selection!H932=1,selection!M932,NA())</f>
        <v/>
      </c>
      <c r="V935">
        <f>IF(selection!H932=1,selection!N932,NA())</f>
        <v/>
      </c>
      <c r="W935">
        <f>IF(selection!H932=0,selection!M932,NA())</f>
        <v/>
      </c>
      <c r="X935">
        <f>IF(selection!H932=0,selection!N932,NA())</f>
        <v/>
      </c>
    </row>
    <row r="936">
      <c r="U936">
        <f>IF(selection!H933=1,selection!M933,NA())</f>
        <v/>
      </c>
      <c r="V936">
        <f>IF(selection!H933=1,selection!N933,NA())</f>
        <v/>
      </c>
      <c r="W936">
        <f>IF(selection!H933=0,selection!M933,NA())</f>
        <v/>
      </c>
      <c r="X936">
        <f>IF(selection!H933=0,selection!N933,NA())</f>
        <v/>
      </c>
    </row>
    <row r="937">
      <c r="U937">
        <f>IF(selection!H934=1,selection!M934,NA())</f>
        <v/>
      </c>
      <c r="V937">
        <f>IF(selection!H934=1,selection!N934,NA())</f>
        <v/>
      </c>
      <c r="W937">
        <f>IF(selection!H934=0,selection!M934,NA())</f>
        <v/>
      </c>
      <c r="X937">
        <f>IF(selection!H934=0,selection!N934,NA())</f>
        <v/>
      </c>
    </row>
    <row r="938">
      <c r="U938">
        <f>IF(selection!H935=1,selection!M935,NA())</f>
        <v/>
      </c>
      <c r="V938">
        <f>IF(selection!H935=1,selection!N935,NA())</f>
        <v/>
      </c>
      <c r="W938">
        <f>IF(selection!H935=0,selection!M935,NA())</f>
        <v/>
      </c>
      <c r="X938">
        <f>IF(selection!H935=0,selection!N935,NA())</f>
        <v/>
      </c>
    </row>
    <row r="939">
      <c r="U939">
        <f>IF(selection!H936=1,selection!M936,NA())</f>
        <v/>
      </c>
      <c r="V939">
        <f>IF(selection!H936=1,selection!N936,NA())</f>
        <v/>
      </c>
      <c r="W939">
        <f>IF(selection!H936=0,selection!M936,NA())</f>
        <v/>
      </c>
      <c r="X939">
        <f>IF(selection!H936=0,selection!N936,NA())</f>
        <v/>
      </c>
    </row>
    <row r="940">
      <c r="U940">
        <f>IF(selection!H937=1,selection!M937,NA())</f>
        <v/>
      </c>
      <c r="V940">
        <f>IF(selection!H937=1,selection!N937,NA())</f>
        <v/>
      </c>
      <c r="W940">
        <f>IF(selection!H937=0,selection!M937,NA())</f>
        <v/>
      </c>
      <c r="X940">
        <f>IF(selection!H937=0,selection!N937,NA())</f>
        <v/>
      </c>
    </row>
    <row r="941">
      <c r="U941">
        <f>IF(selection!H938=1,selection!M938,NA())</f>
        <v/>
      </c>
      <c r="V941">
        <f>IF(selection!H938=1,selection!N938,NA())</f>
        <v/>
      </c>
      <c r="W941">
        <f>IF(selection!H938=0,selection!M938,NA())</f>
        <v/>
      </c>
      <c r="X941">
        <f>IF(selection!H938=0,selection!N938,NA())</f>
        <v/>
      </c>
    </row>
    <row r="942">
      <c r="U942">
        <f>IF(selection!H939=1,selection!M939,NA())</f>
        <v/>
      </c>
      <c r="V942">
        <f>IF(selection!H939=1,selection!N939,NA())</f>
        <v/>
      </c>
      <c r="W942">
        <f>IF(selection!H939=0,selection!M939,NA())</f>
        <v/>
      </c>
      <c r="X942">
        <f>IF(selection!H939=0,selection!N939,NA())</f>
        <v/>
      </c>
    </row>
    <row r="943">
      <c r="U943">
        <f>IF(selection!H940=1,selection!M940,NA())</f>
        <v/>
      </c>
      <c r="V943">
        <f>IF(selection!H940=1,selection!N940,NA())</f>
        <v/>
      </c>
      <c r="W943">
        <f>IF(selection!H940=0,selection!M940,NA())</f>
        <v/>
      </c>
      <c r="X943">
        <f>IF(selection!H940=0,selection!N940,NA())</f>
        <v/>
      </c>
    </row>
    <row r="944">
      <c r="U944">
        <f>IF(selection!H941=1,selection!M941,NA())</f>
        <v/>
      </c>
      <c r="V944">
        <f>IF(selection!H941=1,selection!N941,NA())</f>
        <v/>
      </c>
      <c r="W944">
        <f>IF(selection!H941=0,selection!M941,NA())</f>
        <v/>
      </c>
      <c r="X944">
        <f>IF(selection!H941=0,selection!N941,NA())</f>
        <v/>
      </c>
    </row>
    <row r="945">
      <c r="U945">
        <f>IF(selection!H942=1,selection!M942,NA())</f>
        <v/>
      </c>
      <c r="V945">
        <f>IF(selection!H942=1,selection!N942,NA())</f>
        <v/>
      </c>
      <c r="W945">
        <f>IF(selection!H942=0,selection!M942,NA())</f>
        <v/>
      </c>
      <c r="X945">
        <f>IF(selection!H942=0,selection!N942,NA())</f>
        <v/>
      </c>
    </row>
    <row r="946">
      <c r="U946">
        <f>IF(selection!H943=1,selection!M943,NA())</f>
        <v/>
      </c>
      <c r="V946">
        <f>IF(selection!H943=1,selection!N943,NA())</f>
        <v/>
      </c>
      <c r="W946">
        <f>IF(selection!H943=0,selection!M943,NA())</f>
        <v/>
      </c>
      <c r="X946">
        <f>IF(selection!H943=0,selection!N943,NA())</f>
        <v/>
      </c>
    </row>
    <row r="947">
      <c r="U947">
        <f>IF(selection!H944=1,selection!M944,NA())</f>
        <v/>
      </c>
      <c r="V947">
        <f>IF(selection!H944=1,selection!N944,NA())</f>
        <v/>
      </c>
      <c r="W947">
        <f>IF(selection!H944=0,selection!M944,NA())</f>
        <v/>
      </c>
      <c r="X947">
        <f>IF(selection!H944=0,selection!N944,NA())</f>
        <v/>
      </c>
    </row>
    <row r="948">
      <c r="U948">
        <f>IF(selection!H945=1,selection!M945,NA())</f>
        <v/>
      </c>
      <c r="V948">
        <f>IF(selection!H945=1,selection!N945,NA())</f>
        <v/>
      </c>
      <c r="W948">
        <f>IF(selection!H945=0,selection!M945,NA())</f>
        <v/>
      </c>
      <c r="X948">
        <f>IF(selection!H945=0,selection!N945,NA())</f>
        <v/>
      </c>
    </row>
    <row r="949">
      <c r="U949">
        <f>IF(selection!H946=1,selection!M946,NA())</f>
        <v/>
      </c>
      <c r="V949">
        <f>IF(selection!H946=1,selection!N946,NA())</f>
        <v/>
      </c>
      <c r="W949">
        <f>IF(selection!H946=0,selection!M946,NA())</f>
        <v/>
      </c>
      <c r="X949">
        <f>IF(selection!H946=0,selection!N946,NA())</f>
        <v/>
      </c>
    </row>
    <row r="950">
      <c r="U950">
        <f>IF(selection!H947=1,selection!M947,NA())</f>
        <v/>
      </c>
      <c r="V950">
        <f>IF(selection!H947=1,selection!N947,NA())</f>
        <v/>
      </c>
      <c r="W950">
        <f>IF(selection!H947=0,selection!M947,NA())</f>
        <v/>
      </c>
      <c r="X950">
        <f>IF(selection!H947=0,selection!N947,NA())</f>
        <v/>
      </c>
    </row>
    <row r="951">
      <c r="U951">
        <f>IF(selection!H948=1,selection!M948,NA())</f>
        <v/>
      </c>
      <c r="V951">
        <f>IF(selection!H948=1,selection!N948,NA())</f>
        <v/>
      </c>
      <c r="W951">
        <f>IF(selection!H948=0,selection!M948,NA())</f>
        <v/>
      </c>
      <c r="X951">
        <f>IF(selection!H948=0,selection!N948,NA())</f>
        <v/>
      </c>
    </row>
    <row r="952">
      <c r="U952">
        <f>IF(selection!H949=1,selection!M949,NA())</f>
        <v/>
      </c>
      <c r="V952">
        <f>IF(selection!H949=1,selection!N949,NA())</f>
        <v/>
      </c>
      <c r="W952">
        <f>IF(selection!H949=0,selection!M949,NA())</f>
        <v/>
      </c>
      <c r="X952">
        <f>IF(selection!H949=0,selection!N949,NA())</f>
        <v/>
      </c>
    </row>
    <row r="953">
      <c r="U953">
        <f>IF(selection!H950=1,selection!M950,NA())</f>
        <v/>
      </c>
      <c r="V953">
        <f>IF(selection!H950=1,selection!N950,NA())</f>
        <v/>
      </c>
      <c r="W953">
        <f>IF(selection!H950=0,selection!M950,NA())</f>
        <v/>
      </c>
      <c r="X953">
        <f>IF(selection!H950=0,selection!N950,NA())</f>
        <v/>
      </c>
    </row>
    <row r="954">
      <c r="U954">
        <f>IF(selection!H951=1,selection!M951,NA())</f>
        <v/>
      </c>
      <c r="V954">
        <f>IF(selection!H951=1,selection!N951,NA())</f>
        <v/>
      </c>
      <c r="W954">
        <f>IF(selection!H951=0,selection!M951,NA())</f>
        <v/>
      </c>
      <c r="X954">
        <f>IF(selection!H951=0,selection!N951,NA())</f>
        <v/>
      </c>
    </row>
    <row r="955">
      <c r="U955">
        <f>IF(selection!H952=1,selection!M952,NA())</f>
        <v/>
      </c>
      <c r="V955">
        <f>IF(selection!H952=1,selection!N952,NA())</f>
        <v/>
      </c>
      <c r="W955">
        <f>IF(selection!H952=0,selection!M952,NA())</f>
        <v/>
      </c>
      <c r="X955">
        <f>IF(selection!H952=0,selection!N952,NA())</f>
        <v/>
      </c>
    </row>
    <row r="956">
      <c r="U956">
        <f>IF(selection!H953=1,selection!M953,NA())</f>
        <v/>
      </c>
      <c r="V956">
        <f>IF(selection!H953=1,selection!N953,NA())</f>
        <v/>
      </c>
      <c r="W956">
        <f>IF(selection!H953=0,selection!M953,NA())</f>
        <v/>
      </c>
      <c r="X956">
        <f>IF(selection!H953=0,selection!N953,NA())</f>
        <v/>
      </c>
    </row>
    <row r="957">
      <c r="U957">
        <f>IF(selection!H954=1,selection!M954,NA())</f>
        <v/>
      </c>
      <c r="V957">
        <f>IF(selection!H954=1,selection!N954,NA())</f>
        <v/>
      </c>
      <c r="W957">
        <f>IF(selection!H954=0,selection!M954,NA())</f>
        <v/>
      </c>
      <c r="X957">
        <f>IF(selection!H954=0,selection!N954,NA())</f>
        <v/>
      </c>
    </row>
    <row r="958">
      <c r="U958">
        <f>IF(selection!H955=1,selection!M955,NA())</f>
        <v/>
      </c>
      <c r="V958">
        <f>IF(selection!H955=1,selection!N955,NA())</f>
        <v/>
      </c>
      <c r="W958">
        <f>IF(selection!H955=0,selection!M955,NA())</f>
        <v/>
      </c>
      <c r="X958">
        <f>IF(selection!H955=0,selection!N955,NA())</f>
        <v/>
      </c>
    </row>
    <row r="959">
      <c r="U959">
        <f>IF(selection!H956=1,selection!M956,NA())</f>
        <v/>
      </c>
      <c r="V959">
        <f>IF(selection!H956=1,selection!N956,NA())</f>
        <v/>
      </c>
      <c r="W959">
        <f>IF(selection!H956=0,selection!M956,NA())</f>
        <v/>
      </c>
      <c r="X959">
        <f>IF(selection!H956=0,selection!N956,NA())</f>
        <v/>
      </c>
    </row>
    <row r="960">
      <c r="U960">
        <f>IF(selection!H957=1,selection!M957,NA())</f>
        <v/>
      </c>
      <c r="V960">
        <f>IF(selection!H957=1,selection!N957,NA())</f>
        <v/>
      </c>
      <c r="W960">
        <f>IF(selection!H957=0,selection!M957,NA())</f>
        <v/>
      </c>
      <c r="X960">
        <f>IF(selection!H957=0,selection!N957,NA())</f>
        <v/>
      </c>
    </row>
    <row r="961">
      <c r="U961">
        <f>IF(selection!H958=1,selection!M958,NA())</f>
        <v/>
      </c>
      <c r="V961">
        <f>IF(selection!H958=1,selection!N958,NA())</f>
        <v/>
      </c>
      <c r="W961">
        <f>IF(selection!H958=0,selection!M958,NA())</f>
        <v/>
      </c>
      <c r="X961">
        <f>IF(selection!H958=0,selection!N958,NA())</f>
        <v/>
      </c>
    </row>
    <row r="962">
      <c r="U962">
        <f>IF(selection!H959=1,selection!M959,NA())</f>
        <v/>
      </c>
      <c r="V962">
        <f>IF(selection!H959=1,selection!N959,NA())</f>
        <v/>
      </c>
      <c r="W962">
        <f>IF(selection!H959=0,selection!M959,NA())</f>
        <v/>
      </c>
      <c r="X962">
        <f>IF(selection!H959=0,selection!N959,NA())</f>
        <v/>
      </c>
    </row>
    <row r="963">
      <c r="U963">
        <f>IF(selection!H960=1,selection!M960,NA())</f>
        <v/>
      </c>
      <c r="V963">
        <f>IF(selection!H960=1,selection!N960,NA())</f>
        <v/>
      </c>
      <c r="W963">
        <f>IF(selection!H960=0,selection!M960,NA())</f>
        <v/>
      </c>
      <c r="X963">
        <f>IF(selection!H960=0,selection!N960,NA())</f>
        <v/>
      </c>
    </row>
    <row r="964">
      <c r="U964">
        <f>IF(selection!H961=1,selection!M961,NA())</f>
        <v/>
      </c>
      <c r="V964">
        <f>IF(selection!H961=1,selection!N961,NA())</f>
        <v/>
      </c>
      <c r="W964">
        <f>IF(selection!H961=0,selection!M961,NA())</f>
        <v/>
      </c>
      <c r="X964">
        <f>IF(selection!H961=0,selection!N961,NA())</f>
        <v/>
      </c>
    </row>
    <row r="965">
      <c r="U965">
        <f>IF(selection!H962=1,selection!M962,NA())</f>
        <v/>
      </c>
      <c r="V965">
        <f>IF(selection!H962=1,selection!N962,NA())</f>
        <v/>
      </c>
      <c r="W965">
        <f>IF(selection!H962=0,selection!M962,NA())</f>
        <v/>
      </c>
      <c r="X965">
        <f>IF(selection!H962=0,selection!N962,NA())</f>
        <v/>
      </c>
    </row>
    <row r="966">
      <c r="U966">
        <f>IF(selection!H963=1,selection!M963,NA())</f>
        <v/>
      </c>
      <c r="V966">
        <f>IF(selection!H963=1,selection!N963,NA())</f>
        <v/>
      </c>
      <c r="W966">
        <f>IF(selection!H963=0,selection!M963,NA())</f>
        <v/>
      </c>
      <c r="X966">
        <f>IF(selection!H963=0,selection!N963,NA())</f>
        <v/>
      </c>
    </row>
    <row r="967">
      <c r="U967">
        <f>IF(selection!H964=1,selection!M964,NA())</f>
        <v/>
      </c>
      <c r="V967">
        <f>IF(selection!H964=1,selection!N964,NA())</f>
        <v/>
      </c>
      <c r="W967">
        <f>IF(selection!H964=0,selection!M964,NA())</f>
        <v/>
      </c>
      <c r="X967">
        <f>IF(selection!H964=0,selection!N964,NA())</f>
        <v/>
      </c>
    </row>
    <row r="968">
      <c r="U968">
        <f>IF(selection!H965=1,selection!M965,NA())</f>
        <v/>
      </c>
      <c r="V968">
        <f>IF(selection!H965=1,selection!N965,NA())</f>
        <v/>
      </c>
      <c r="W968">
        <f>IF(selection!H965=0,selection!M965,NA())</f>
        <v/>
      </c>
      <c r="X968">
        <f>IF(selection!H965=0,selection!N965,NA())</f>
        <v/>
      </c>
    </row>
    <row r="969">
      <c r="U969">
        <f>IF(selection!H966=1,selection!M966,NA())</f>
        <v/>
      </c>
      <c r="V969">
        <f>IF(selection!H966=1,selection!N966,NA())</f>
        <v/>
      </c>
      <c r="W969">
        <f>IF(selection!H966=0,selection!M966,NA())</f>
        <v/>
      </c>
      <c r="X969">
        <f>IF(selection!H966=0,selection!N966,NA())</f>
        <v/>
      </c>
    </row>
    <row r="970">
      <c r="U970">
        <f>IF(selection!H967=1,selection!M967,NA())</f>
        <v/>
      </c>
      <c r="V970">
        <f>IF(selection!H967=1,selection!N967,NA())</f>
        <v/>
      </c>
      <c r="W970">
        <f>IF(selection!H967=0,selection!M967,NA())</f>
        <v/>
      </c>
      <c r="X970">
        <f>IF(selection!H967=0,selection!N967,NA())</f>
        <v/>
      </c>
    </row>
    <row r="971">
      <c r="U971">
        <f>IF(selection!H968=1,selection!M968,NA())</f>
        <v/>
      </c>
      <c r="V971">
        <f>IF(selection!H968=1,selection!N968,NA())</f>
        <v/>
      </c>
      <c r="W971">
        <f>IF(selection!H968=0,selection!M968,NA())</f>
        <v/>
      </c>
      <c r="X971">
        <f>IF(selection!H968=0,selection!N968,NA())</f>
        <v/>
      </c>
    </row>
    <row r="972">
      <c r="U972">
        <f>IF(selection!H969=1,selection!M969,NA())</f>
        <v/>
      </c>
      <c r="V972">
        <f>IF(selection!H969=1,selection!N969,NA())</f>
        <v/>
      </c>
      <c r="W972">
        <f>IF(selection!H969=0,selection!M969,NA())</f>
        <v/>
      </c>
      <c r="X972">
        <f>IF(selection!H969=0,selection!N969,NA())</f>
        <v/>
      </c>
    </row>
    <row r="973">
      <c r="U973">
        <f>IF(selection!H970=1,selection!M970,NA())</f>
        <v/>
      </c>
      <c r="V973">
        <f>IF(selection!H970=1,selection!N970,NA())</f>
        <v/>
      </c>
      <c r="W973">
        <f>IF(selection!H970=0,selection!M970,NA())</f>
        <v/>
      </c>
      <c r="X973">
        <f>IF(selection!H970=0,selection!N970,NA())</f>
        <v/>
      </c>
    </row>
    <row r="974">
      <c r="U974">
        <f>IF(selection!H971=1,selection!M971,NA())</f>
        <v/>
      </c>
      <c r="V974">
        <f>IF(selection!H971=1,selection!N971,NA())</f>
        <v/>
      </c>
      <c r="W974">
        <f>IF(selection!H971=0,selection!M971,NA())</f>
        <v/>
      </c>
      <c r="X974">
        <f>IF(selection!H971=0,selection!N971,NA())</f>
        <v/>
      </c>
    </row>
    <row r="975">
      <c r="U975">
        <f>IF(selection!H972=1,selection!M972,NA())</f>
        <v/>
      </c>
      <c r="V975">
        <f>IF(selection!H972=1,selection!N972,NA())</f>
        <v/>
      </c>
      <c r="W975">
        <f>IF(selection!H972=0,selection!M972,NA())</f>
        <v/>
      </c>
      <c r="X975">
        <f>IF(selection!H972=0,selection!N972,NA())</f>
        <v/>
      </c>
    </row>
    <row r="976">
      <c r="U976">
        <f>IF(selection!H973=1,selection!M973,NA())</f>
        <v/>
      </c>
      <c r="V976">
        <f>IF(selection!H973=1,selection!N973,NA())</f>
        <v/>
      </c>
      <c r="W976">
        <f>IF(selection!H973=0,selection!M973,NA())</f>
        <v/>
      </c>
      <c r="X976">
        <f>IF(selection!H973=0,selection!N973,NA())</f>
        <v/>
      </c>
    </row>
    <row r="977">
      <c r="U977">
        <f>IF(selection!H974=1,selection!M974,NA())</f>
        <v/>
      </c>
      <c r="V977">
        <f>IF(selection!H974=1,selection!N974,NA())</f>
        <v/>
      </c>
      <c r="W977">
        <f>IF(selection!H974=0,selection!M974,NA())</f>
        <v/>
      </c>
      <c r="X977">
        <f>IF(selection!H974=0,selection!N974,NA())</f>
        <v/>
      </c>
    </row>
    <row r="978">
      <c r="U978">
        <f>IF(selection!H975=1,selection!M975,NA())</f>
        <v/>
      </c>
      <c r="V978">
        <f>IF(selection!H975=1,selection!N975,NA())</f>
        <v/>
      </c>
      <c r="W978">
        <f>IF(selection!H975=0,selection!M975,NA())</f>
        <v/>
      </c>
      <c r="X978">
        <f>IF(selection!H975=0,selection!N975,NA())</f>
        <v/>
      </c>
    </row>
    <row r="979">
      <c r="U979">
        <f>IF(selection!H976=1,selection!M976,NA())</f>
        <v/>
      </c>
      <c r="V979">
        <f>IF(selection!H976=1,selection!N976,NA())</f>
        <v/>
      </c>
      <c r="W979">
        <f>IF(selection!H976=0,selection!M976,NA())</f>
        <v/>
      </c>
      <c r="X979">
        <f>IF(selection!H976=0,selection!N976,NA())</f>
        <v/>
      </c>
    </row>
    <row r="980">
      <c r="U980">
        <f>IF(selection!H977=1,selection!M977,NA())</f>
        <v/>
      </c>
      <c r="V980">
        <f>IF(selection!H977=1,selection!N977,NA())</f>
        <v/>
      </c>
      <c r="W980">
        <f>IF(selection!H977=0,selection!M977,NA())</f>
        <v/>
      </c>
      <c r="X980">
        <f>IF(selection!H977=0,selection!N977,NA())</f>
        <v/>
      </c>
    </row>
    <row r="981">
      <c r="U981">
        <f>IF(selection!H978=1,selection!M978,NA())</f>
        <v/>
      </c>
      <c r="V981">
        <f>IF(selection!H978=1,selection!N978,NA())</f>
        <v/>
      </c>
      <c r="W981">
        <f>IF(selection!H978=0,selection!M978,NA())</f>
        <v/>
      </c>
      <c r="X981">
        <f>IF(selection!H978=0,selection!N978,NA())</f>
        <v/>
      </c>
    </row>
    <row r="982">
      <c r="U982">
        <f>IF(selection!H979=1,selection!M979,NA())</f>
        <v/>
      </c>
      <c r="V982">
        <f>IF(selection!H979=1,selection!N979,NA())</f>
        <v/>
      </c>
      <c r="W982">
        <f>IF(selection!H979=0,selection!M979,NA())</f>
        <v/>
      </c>
      <c r="X982">
        <f>IF(selection!H979=0,selection!N979,NA())</f>
        <v/>
      </c>
    </row>
    <row r="983">
      <c r="U983">
        <f>IF(selection!H980=1,selection!M980,NA())</f>
        <v/>
      </c>
      <c r="V983">
        <f>IF(selection!H980=1,selection!N980,NA())</f>
        <v/>
      </c>
      <c r="W983">
        <f>IF(selection!H980=0,selection!M980,NA())</f>
        <v/>
      </c>
      <c r="X983">
        <f>IF(selection!H980=0,selection!N980,NA())</f>
        <v/>
      </c>
    </row>
    <row r="984">
      <c r="U984">
        <f>IF(selection!H981=1,selection!M981,NA())</f>
        <v/>
      </c>
      <c r="V984">
        <f>IF(selection!H981=1,selection!N981,NA())</f>
        <v/>
      </c>
      <c r="W984">
        <f>IF(selection!H981=0,selection!M981,NA())</f>
        <v/>
      </c>
      <c r="X984">
        <f>IF(selection!H981=0,selection!N981,NA())</f>
        <v/>
      </c>
    </row>
    <row r="985">
      <c r="U985">
        <f>IF(selection!H982=1,selection!M982,NA())</f>
        <v/>
      </c>
      <c r="V985">
        <f>IF(selection!H982=1,selection!N982,NA())</f>
        <v/>
      </c>
      <c r="W985">
        <f>IF(selection!H982=0,selection!M982,NA())</f>
        <v/>
      </c>
      <c r="X985">
        <f>IF(selection!H982=0,selection!N982,NA())</f>
        <v/>
      </c>
    </row>
    <row r="986">
      <c r="U986">
        <f>IF(selection!H983=1,selection!M983,NA())</f>
        <v/>
      </c>
      <c r="V986">
        <f>IF(selection!H983=1,selection!N983,NA())</f>
        <v/>
      </c>
      <c r="W986">
        <f>IF(selection!H983=0,selection!M983,NA())</f>
        <v/>
      </c>
      <c r="X986">
        <f>IF(selection!H983=0,selection!N983,NA())</f>
        <v/>
      </c>
    </row>
    <row r="987">
      <c r="U987">
        <f>IF(selection!H984=1,selection!M984,NA())</f>
        <v/>
      </c>
      <c r="V987">
        <f>IF(selection!H984=1,selection!N984,NA())</f>
        <v/>
      </c>
      <c r="W987">
        <f>IF(selection!H984=0,selection!M984,NA())</f>
        <v/>
      </c>
      <c r="X987">
        <f>IF(selection!H984=0,selection!N984,NA())</f>
        <v/>
      </c>
    </row>
    <row r="988">
      <c r="U988">
        <f>IF(selection!H985=1,selection!M985,NA())</f>
        <v/>
      </c>
      <c r="V988">
        <f>IF(selection!H985=1,selection!N985,NA())</f>
        <v/>
      </c>
      <c r="W988">
        <f>IF(selection!H985=0,selection!M985,NA())</f>
        <v/>
      </c>
      <c r="X988">
        <f>IF(selection!H985=0,selection!N985,NA())</f>
        <v/>
      </c>
    </row>
    <row r="989">
      <c r="U989">
        <f>IF(selection!H986=1,selection!M986,NA())</f>
        <v/>
      </c>
      <c r="V989">
        <f>IF(selection!H986=1,selection!N986,NA())</f>
        <v/>
      </c>
      <c r="W989">
        <f>IF(selection!H986=0,selection!M986,NA())</f>
        <v/>
      </c>
      <c r="X989">
        <f>IF(selection!H986=0,selection!N986,NA())</f>
        <v/>
      </c>
    </row>
    <row r="990">
      <c r="U990">
        <f>IF(selection!H987=1,selection!M987,NA())</f>
        <v/>
      </c>
      <c r="V990">
        <f>IF(selection!H987=1,selection!N987,NA())</f>
        <v/>
      </c>
      <c r="W990">
        <f>IF(selection!H987=0,selection!M987,NA())</f>
        <v/>
      </c>
      <c r="X990">
        <f>IF(selection!H987=0,selection!N987,NA())</f>
        <v/>
      </c>
    </row>
    <row r="991">
      <c r="U991">
        <f>IF(selection!H988=1,selection!M988,NA())</f>
        <v/>
      </c>
      <c r="V991">
        <f>IF(selection!H988=1,selection!N988,NA())</f>
        <v/>
      </c>
      <c r="W991">
        <f>IF(selection!H988=0,selection!M988,NA())</f>
        <v/>
      </c>
      <c r="X991">
        <f>IF(selection!H988=0,selection!N988,NA())</f>
        <v/>
      </c>
    </row>
    <row r="992">
      <c r="U992">
        <f>IF(selection!H989=1,selection!M989,NA())</f>
        <v/>
      </c>
      <c r="V992">
        <f>IF(selection!H989=1,selection!N989,NA())</f>
        <v/>
      </c>
      <c r="W992">
        <f>IF(selection!H989=0,selection!M989,NA())</f>
        <v/>
      </c>
      <c r="X992">
        <f>IF(selection!H989=0,selection!N989,NA())</f>
        <v/>
      </c>
    </row>
    <row r="993">
      <c r="U993">
        <f>IF(selection!H990=1,selection!M990,NA())</f>
        <v/>
      </c>
      <c r="V993">
        <f>IF(selection!H990=1,selection!N990,NA())</f>
        <v/>
      </c>
      <c r="W993">
        <f>IF(selection!H990=0,selection!M990,NA())</f>
        <v/>
      </c>
      <c r="X993">
        <f>IF(selection!H990=0,selection!N990,NA())</f>
        <v/>
      </c>
    </row>
    <row r="994">
      <c r="U994">
        <f>IF(selection!H991=1,selection!M991,NA())</f>
        <v/>
      </c>
      <c r="V994">
        <f>IF(selection!H991=1,selection!N991,NA())</f>
        <v/>
      </c>
      <c r="W994">
        <f>IF(selection!H991=0,selection!M991,NA())</f>
        <v/>
      </c>
      <c r="X994">
        <f>IF(selection!H991=0,selection!N991,NA())</f>
        <v/>
      </c>
    </row>
    <row r="995">
      <c r="U995">
        <f>IF(selection!H992=1,selection!M992,NA())</f>
        <v/>
      </c>
      <c r="V995">
        <f>IF(selection!H992=1,selection!N992,NA())</f>
        <v/>
      </c>
      <c r="W995">
        <f>IF(selection!H992=0,selection!M992,NA())</f>
        <v/>
      </c>
      <c r="X995">
        <f>IF(selection!H992=0,selection!N992,NA())</f>
        <v/>
      </c>
    </row>
    <row r="996">
      <c r="U996">
        <f>IF(selection!H993=1,selection!M993,NA())</f>
        <v/>
      </c>
      <c r="V996">
        <f>IF(selection!H993=1,selection!N993,NA())</f>
        <v/>
      </c>
      <c r="W996">
        <f>IF(selection!H993=0,selection!M993,NA())</f>
        <v/>
      </c>
      <c r="X996">
        <f>IF(selection!H993=0,selection!N993,NA())</f>
        <v/>
      </c>
    </row>
    <row r="997">
      <c r="U997">
        <f>IF(selection!H994=1,selection!M994,NA())</f>
        <v/>
      </c>
      <c r="V997">
        <f>IF(selection!H994=1,selection!N994,NA())</f>
        <v/>
      </c>
      <c r="W997">
        <f>IF(selection!H994=0,selection!M994,NA())</f>
        <v/>
      </c>
      <c r="X997">
        <f>IF(selection!H994=0,selection!N994,NA())</f>
        <v/>
      </c>
    </row>
    <row r="998">
      <c r="U998">
        <f>IF(selection!H995=1,selection!M995,NA())</f>
        <v/>
      </c>
      <c r="V998">
        <f>IF(selection!H995=1,selection!N995,NA())</f>
        <v/>
      </c>
      <c r="W998">
        <f>IF(selection!H995=0,selection!M995,NA())</f>
        <v/>
      </c>
      <c r="X998">
        <f>IF(selection!H995=0,selection!N995,NA())</f>
        <v/>
      </c>
    </row>
    <row r="999">
      <c r="U999">
        <f>IF(selection!H996=1,selection!M996,NA())</f>
        <v/>
      </c>
      <c r="V999">
        <f>IF(selection!H996=1,selection!N996,NA())</f>
        <v/>
      </c>
      <c r="W999">
        <f>IF(selection!H996=0,selection!M996,NA())</f>
        <v/>
      </c>
      <c r="X999">
        <f>IF(selection!H996=0,selection!N996,NA())</f>
        <v/>
      </c>
    </row>
    <row r="1000">
      <c r="U1000">
        <f>IF(selection!H997=1,selection!M997,NA())</f>
        <v/>
      </c>
      <c r="V1000">
        <f>IF(selection!H997=1,selection!N997,NA())</f>
        <v/>
      </c>
      <c r="W1000">
        <f>IF(selection!H997=0,selection!M997,NA())</f>
        <v/>
      </c>
      <c r="X1000">
        <f>IF(selection!H997=0,selection!N997,NA())</f>
        <v/>
      </c>
    </row>
    <row r="1001">
      <c r="U1001">
        <f>IF(selection!H998=1,selection!M998,NA())</f>
        <v/>
      </c>
      <c r="V1001">
        <f>IF(selection!H998=1,selection!N998,NA())</f>
        <v/>
      </c>
      <c r="W1001">
        <f>IF(selection!H998=0,selection!M998,NA())</f>
        <v/>
      </c>
      <c r="X1001">
        <f>IF(selection!H998=0,selection!N998,NA())</f>
        <v/>
      </c>
    </row>
    <row r="1002">
      <c r="U1002">
        <f>IF(selection!H999=1,selection!M999,NA())</f>
        <v/>
      </c>
      <c r="V1002">
        <f>IF(selection!H999=1,selection!N999,NA())</f>
        <v/>
      </c>
      <c r="W1002">
        <f>IF(selection!H999=0,selection!M999,NA())</f>
        <v/>
      </c>
      <c r="X1002">
        <f>IF(selection!H999=0,selection!N999,NA())</f>
        <v/>
      </c>
    </row>
    <row r="1003">
      <c r="U1003">
        <f>IF(selection!H1000=1,selection!M1000,NA())</f>
        <v/>
      </c>
      <c r="V1003">
        <f>IF(selection!H1000=1,selection!N1000,NA())</f>
        <v/>
      </c>
      <c r="W1003">
        <f>IF(selection!H1000=0,selection!M1000,NA())</f>
        <v/>
      </c>
      <c r="X1003">
        <f>IF(selection!H1000=0,selection!N1000,NA())</f>
        <v/>
      </c>
    </row>
    <row r="1004">
      <c r="U1004">
        <f>IF(selection!H1001=1,selection!M1001,NA())</f>
        <v/>
      </c>
      <c r="V1004">
        <f>IF(selection!H1001=1,selection!N1001,NA())</f>
        <v/>
      </c>
      <c r="W1004">
        <f>IF(selection!H1001=0,selection!M1001,NA())</f>
        <v/>
      </c>
      <c r="X1004">
        <f>IF(selection!H1001=0,selection!N1001,NA())</f>
        <v/>
      </c>
    </row>
    <row r="1005">
      <c r="U1005">
        <f>IF(selection!H1002=1,selection!M1002,NA())</f>
        <v/>
      </c>
      <c r="V1005">
        <f>IF(selection!H1002=1,selection!N1002,NA())</f>
        <v/>
      </c>
      <c r="W1005">
        <f>IF(selection!H1002=0,selection!M1002,NA())</f>
        <v/>
      </c>
      <c r="X1005">
        <f>IF(selection!H1002=0,selection!N1002,NA())</f>
        <v/>
      </c>
    </row>
    <row r="1006">
      <c r="U1006">
        <f>IF(selection!H1003=1,selection!M1003,NA())</f>
        <v/>
      </c>
      <c r="V1006">
        <f>IF(selection!H1003=1,selection!N1003,NA())</f>
        <v/>
      </c>
      <c r="W1006">
        <f>IF(selection!H1003=0,selection!M1003,NA())</f>
        <v/>
      </c>
      <c r="X1006">
        <f>IF(selection!H1003=0,selection!N1003,NA())</f>
        <v/>
      </c>
    </row>
    <row r="1007">
      <c r="U1007">
        <f>IF(selection!H1004=1,selection!M1004,NA())</f>
        <v/>
      </c>
      <c r="V1007">
        <f>IF(selection!H1004=1,selection!N1004,NA())</f>
        <v/>
      </c>
      <c r="W1007">
        <f>IF(selection!H1004=0,selection!M1004,NA())</f>
        <v/>
      </c>
      <c r="X1007">
        <f>IF(selection!H1004=0,selection!N1004,NA())</f>
        <v/>
      </c>
    </row>
    <row r="1008">
      <c r="U1008">
        <f>IF(selection!H1005=1,selection!M1005,NA())</f>
        <v/>
      </c>
      <c r="V1008">
        <f>IF(selection!H1005=1,selection!N1005,NA())</f>
        <v/>
      </c>
      <c r="W1008">
        <f>IF(selection!H1005=0,selection!M1005,NA())</f>
        <v/>
      </c>
      <c r="X1008">
        <f>IF(selection!H1005=0,selection!N1005,NA())</f>
        <v/>
      </c>
    </row>
    <row r="1009">
      <c r="U1009">
        <f>IF(selection!H1006=1,selection!M1006,NA())</f>
        <v/>
      </c>
      <c r="V1009">
        <f>IF(selection!H1006=1,selection!N1006,NA())</f>
        <v/>
      </c>
      <c r="W1009">
        <f>IF(selection!H1006=0,selection!M1006,NA())</f>
        <v/>
      </c>
      <c r="X1009">
        <f>IF(selection!H1006=0,selection!N1006,NA())</f>
        <v/>
      </c>
    </row>
    <row r="1010">
      <c r="U1010">
        <f>IF(selection!H1007=1,selection!M1007,NA())</f>
        <v/>
      </c>
      <c r="V1010">
        <f>IF(selection!H1007=1,selection!N1007,NA())</f>
        <v/>
      </c>
      <c r="W1010">
        <f>IF(selection!H1007=0,selection!M1007,NA())</f>
        <v/>
      </c>
      <c r="X1010">
        <f>IF(selection!H1007=0,selection!N1007,NA())</f>
        <v/>
      </c>
    </row>
    <row r="1011">
      <c r="U1011">
        <f>IF(selection!H1008=1,selection!M1008,NA())</f>
        <v/>
      </c>
      <c r="V1011">
        <f>IF(selection!H1008=1,selection!N1008,NA())</f>
        <v/>
      </c>
      <c r="W1011">
        <f>IF(selection!H1008=0,selection!M1008,NA())</f>
        <v/>
      </c>
      <c r="X1011">
        <f>IF(selection!H1008=0,selection!N1008,NA())</f>
        <v/>
      </c>
    </row>
    <row r="1012">
      <c r="U1012">
        <f>IF(selection!H1009=1,selection!M1009,NA())</f>
        <v/>
      </c>
      <c r="V1012">
        <f>IF(selection!H1009=1,selection!N1009,NA())</f>
        <v/>
      </c>
      <c r="W1012">
        <f>IF(selection!H1009=0,selection!M1009,NA())</f>
        <v/>
      </c>
      <c r="X1012">
        <f>IF(selection!H1009=0,selection!N1009,NA())</f>
        <v/>
      </c>
    </row>
    <row r="1013">
      <c r="U1013">
        <f>IF(selection!H1010=1,selection!M1010,NA())</f>
        <v/>
      </c>
      <c r="V1013">
        <f>IF(selection!H1010=1,selection!N1010,NA())</f>
        <v/>
      </c>
      <c r="W1013">
        <f>IF(selection!H1010=0,selection!M1010,NA())</f>
        <v/>
      </c>
      <c r="X1013">
        <f>IF(selection!H1010=0,selection!N1010,NA())</f>
        <v/>
      </c>
    </row>
    <row r="1014">
      <c r="U1014">
        <f>IF(selection!H1011=1,selection!M1011,NA())</f>
        <v/>
      </c>
      <c r="V1014">
        <f>IF(selection!H1011=1,selection!N1011,NA())</f>
        <v/>
      </c>
      <c r="W1014">
        <f>IF(selection!H1011=0,selection!M1011,NA())</f>
        <v/>
      </c>
      <c r="X1014">
        <f>IF(selection!H1011=0,selection!N1011,NA())</f>
        <v/>
      </c>
    </row>
    <row r="1015">
      <c r="U1015">
        <f>IF(selection!H1012=1,selection!M1012,NA())</f>
        <v/>
      </c>
      <c r="V1015">
        <f>IF(selection!H1012=1,selection!N1012,NA())</f>
        <v/>
      </c>
      <c r="W1015">
        <f>IF(selection!H1012=0,selection!M1012,NA())</f>
        <v/>
      </c>
      <c r="X1015">
        <f>IF(selection!H1012=0,selection!N1012,NA())</f>
        <v/>
      </c>
    </row>
    <row r="1016">
      <c r="U1016">
        <f>IF(selection!H1013=1,selection!M1013,NA())</f>
        <v/>
      </c>
      <c r="V1016">
        <f>IF(selection!H1013=1,selection!N1013,NA())</f>
        <v/>
      </c>
      <c r="W1016">
        <f>IF(selection!H1013=0,selection!M1013,NA())</f>
        <v/>
      </c>
      <c r="X1016">
        <f>IF(selection!H1013=0,selection!N1013,NA())</f>
        <v/>
      </c>
    </row>
    <row r="1017">
      <c r="U1017">
        <f>IF(selection!H1014=1,selection!M1014,NA())</f>
        <v/>
      </c>
      <c r="V1017">
        <f>IF(selection!H1014=1,selection!N1014,NA())</f>
        <v/>
      </c>
      <c r="W1017">
        <f>IF(selection!H1014=0,selection!M1014,NA())</f>
        <v/>
      </c>
      <c r="X1017">
        <f>IF(selection!H1014=0,selection!N1014,NA())</f>
        <v/>
      </c>
    </row>
    <row r="1018">
      <c r="U1018">
        <f>IF(selection!H1015=1,selection!M1015,NA())</f>
        <v/>
      </c>
      <c r="V1018">
        <f>IF(selection!H1015=1,selection!N1015,NA())</f>
        <v/>
      </c>
      <c r="W1018">
        <f>IF(selection!H1015=0,selection!M1015,NA())</f>
        <v/>
      </c>
      <c r="X1018">
        <f>IF(selection!H1015=0,selection!N1015,NA())</f>
        <v/>
      </c>
    </row>
    <row r="1019">
      <c r="U1019">
        <f>IF(selection!H1016=1,selection!M1016,NA())</f>
        <v/>
      </c>
      <c r="V1019">
        <f>IF(selection!H1016=1,selection!N1016,NA())</f>
        <v/>
      </c>
      <c r="W1019">
        <f>IF(selection!H1016=0,selection!M1016,NA())</f>
        <v/>
      </c>
      <c r="X1019">
        <f>IF(selection!H1016=0,selection!N1016,NA())</f>
        <v/>
      </c>
    </row>
    <row r="1020">
      <c r="U1020">
        <f>IF(selection!H1017=1,selection!M1017,NA())</f>
        <v/>
      </c>
      <c r="V1020">
        <f>IF(selection!H1017=1,selection!N1017,NA())</f>
        <v/>
      </c>
      <c r="W1020">
        <f>IF(selection!H1017=0,selection!M1017,NA())</f>
        <v/>
      </c>
      <c r="X1020">
        <f>IF(selection!H1017=0,selection!N1017,NA())</f>
        <v/>
      </c>
    </row>
    <row r="1021">
      <c r="U1021">
        <f>IF(selection!H1018=1,selection!M1018,NA())</f>
        <v/>
      </c>
      <c r="V1021">
        <f>IF(selection!H1018=1,selection!N1018,NA())</f>
        <v/>
      </c>
      <c r="W1021">
        <f>IF(selection!H1018=0,selection!M1018,NA())</f>
        <v/>
      </c>
      <c r="X1021">
        <f>IF(selection!H1018=0,selection!N1018,NA())</f>
        <v/>
      </c>
    </row>
    <row r="1022">
      <c r="U1022">
        <f>IF(selection!H1019=1,selection!M1019,NA())</f>
        <v/>
      </c>
      <c r="V1022">
        <f>IF(selection!H1019=1,selection!N1019,NA())</f>
        <v/>
      </c>
      <c r="W1022">
        <f>IF(selection!H1019=0,selection!M1019,NA())</f>
        <v/>
      </c>
      <c r="X1022">
        <f>IF(selection!H1019=0,selection!N1019,NA())</f>
        <v/>
      </c>
    </row>
    <row r="1023">
      <c r="U1023">
        <f>IF(selection!H1020=1,selection!M1020,NA())</f>
        <v/>
      </c>
      <c r="V1023">
        <f>IF(selection!H1020=1,selection!N1020,NA())</f>
        <v/>
      </c>
      <c r="W1023">
        <f>IF(selection!H1020=0,selection!M1020,NA())</f>
        <v/>
      </c>
      <c r="X1023">
        <f>IF(selection!H1020=0,selection!N1020,NA())</f>
        <v/>
      </c>
    </row>
    <row r="1024">
      <c r="U1024">
        <f>IF(selection!H1021=1,selection!M1021,NA())</f>
        <v/>
      </c>
      <c r="V1024">
        <f>IF(selection!H1021=1,selection!N1021,NA())</f>
        <v/>
      </c>
      <c r="W1024">
        <f>IF(selection!H1021=0,selection!M1021,NA())</f>
        <v/>
      </c>
      <c r="X1024">
        <f>IF(selection!H1021=0,selection!N1021,NA())</f>
        <v/>
      </c>
    </row>
    <row r="1025">
      <c r="U1025">
        <f>IF(selection!H1022=1,selection!M1022,NA())</f>
        <v/>
      </c>
      <c r="V1025">
        <f>IF(selection!H1022=1,selection!N1022,NA())</f>
        <v/>
      </c>
      <c r="W1025">
        <f>IF(selection!H1022=0,selection!M1022,NA())</f>
        <v/>
      </c>
      <c r="X1025">
        <f>IF(selection!H1022=0,selection!N1022,NA())</f>
        <v/>
      </c>
    </row>
    <row r="1026">
      <c r="U1026">
        <f>IF(selection!H1023=1,selection!M1023,NA())</f>
        <v/>
      </c>
      <c r="V1026">
        <f>IF(selection!H1023=1,selection!N1023,NA())</f>
        <v/>
      </c>
      <c r="W1026">
        <f>IF(selection!H1023=0,selection!M1023,NA())</f>
        <v/>
      </c>
      <c r="X1026">
        <f>IF(selection!H1023=0,selection!N1023,NA())</f>
        <v/>
      </c>
    </row>
    <row r="1027">
      <c r="U1027">
        <f>IF(selection!H1024=1,selection!M1024,NA())</f>
        <v/>
      </c>
      <c r="V1027">
        <f>IF(selection!H1024=1,selection!N1024,NA())</f>
        <v/>
      </c>
      <c r="W1027">
        <f>IF(selection!H1024=0,selection!M1024,NA())</f>
        <v/>
      </c>
      <c r="X1027">
        <f>IF(selection!H1024=0,selection!N1024,NA())</f>
        <v/>
      </c>
    </row>
    <row r="1028">
      <c r="U1028">
        <f>IF(selection!H1025=1,selection!M1025,NA())</f>
        <v/>
      </c>
      <c r="V1028">
        <f>IF(selection!H1025=1,selection!N1025,NA())</f>
        <v/>
      </c>
      <c r="W1028">
        <f>IF(selection!H1025=0,selection!M1025,NA())</f>
        <v/>
      </c>
      <c r="X1028">
        <f>IF(selection!H1025=0,selection!N1025,NA())</f>
        <v/>
      </c>
    </row>
    <row r="1029">
      <c r="U1029">
        <f>IF(selection!H1026=1,selection!M1026,NA())</f>
        <v/>
      </c>
      <c r="V1029">
        <f>IF(selection!H1026=1,selection!N1026,NA())</f>
        <v/>
      </c>
      <c r="W1029">
        <f>IF(selection!H1026=0,selection!M1026,NA())</f>
        <v/>
      </c>
      <c r="X1029">
        <f>IF(selection!H1026=0,selection!N1026,NA())</f>
        <v/>
      </c>
    </row>
    <row r="1030">
      <c r="U1030">
        <f>IF(selection!H1027=1,selection!M1027,NA())</f>
        <v/>
      </c>
      <c r="V1030">
        <f>IF(selection!H1027=1,selection!N1027,NA())</f>
        <v/>
      </c>
      <c r="W1030">
        <f>IF(selection!H1027=0,selection!M1027,NA())</f>
        <v/>
      </c>
      <c r="X1030">
        <f>IF(selection!H1027=0,selection!N1027,NA())</f>
        <v/>
      </c>
    </row>
    <row r="1031">
      <c r="U1031">
        <f>IF(selection!H1028=1,selection!M1028,NA())</f>
        <v/>
      </c>
      <c r="V1031">
        <f>IF(selection!H1028=1,selection!N1028,NA())</f>
        <v/>
      </c>
      <c r="W1031">
        <f>IF(selection!H1028=0,selection!M1028,NA())</f>
        <v/>
      </c>
      <c r="X1031">
        <f>IF(selection!H1028=0,selection!N1028,NA())</f>
        <v/>
      </c>
    </row>
    <row r="1032">
      <c r="U1032">
        <f>IF(selection!H1029=1,selection!M1029,NA())</f>
        <v/>
      </c>
      <c r="V1032">
        <f>IF(selection!H1029=1,selection!N1029,NA())</f>
        <v/>
      </c>
      <c r="W1032">
        <f>IF(selection!H1029=0,selection!M1029,NA())</f>
        <v/>
      </c>
      <c r="X1032">
        <f>IF(selection!H1029=0,selection!N1029,NA())</f>
        <v/>
      </c>
    </row>
    <row r="1033">
      <c r="U1033">
        <f>IF(selection!H1030=1,selection!M1030,NA())</f>
        <v/>
      </c>
      <c r="V1033">
        <f>IF(selection!H1030=1,selection!N1030,NA())</f>
        <v/>
      </c>
      <c r="W1033">
        <f>IF(selection!H1030=0,selection!M1030,NA())</f>
        <v/>
      </c>
      <c r="X1033">
        <f>IF(selection!H1030=0,selection!N1030,NA())</f>
        <v/>
      </c>
    </row>
    <row r="1034">
      <c r="U1034">
        <f>IF(selection!H1031=1,selection!M1031,NA())</f>
        <v/>
      </c>
      <c r="V1034">
        <f>IF(selection!H1031=1,selection!N1031,NA())</f>
        <v/>
      </c>
      <c r="W1034">
        <f>IF(selection!H1031=0,selection!M1031,NA())</f>
        <v/>
      </c>
      <c r="X1034">
        <f>IF(selection!H1031=0,selection!N1031,NA())</f>
        <v/>
      </c>
    </row>
    <row r="1035">
      <c r="U1035">
        <f>IF(selection!H1032=1,selection!M1032,NA())</f>
        <v/>
      </c>
      <c r="V1035">
        <f>IF(selection!H1032=1,selection!N1032,NA())</f>
        <v/>
      </c>
      <c r="W1035">
        <f>IF(selection!H1032=0,selection!M1032,NA())</f>
        <v/>
      </c>
      <c r="X1035">
        <f>IF(selection!H1032=0,selection!N1032,NA())</f>
        <v/>
      </c>
    </row>
    <row r="1036">
      <c r="U1036">
        <f>IF(selection!H1033=1,selection!M1033,NA())</f>
        <v/>
      </c>
      <c r="V1036">
        <f>IF(selection!H1033=1,selection!N1033,NA())</f>
        <v/>
      </c>
      <c r="W1036">
        <f>IF(selection!H1033=0,selection!M1033,NA())</f>
        <v/>
      </c>
      <c r="X1036">
        <f>IF(selection!H1033=0,selection!N1033,NA())</f>
        <v/>
      </c>
    </row>
    <row r="1037">
      <c r="U1037">
        <f>IF(selection!H1034=1,selection!M1034,NA())</f>
        <v/>
      </c>
      <c r="V1037">
        <f>IF(selection!H1034=1,selection!N1034,NA())</f>
        <v/>
      </c>
      <c r="W1037">
        <f>IF(selection!H1034=0,selection!M1034,NA())</f>
        <v/>
      </c>
      <c r="X1037">
        <f>IF(selection!H1034=0,selection!N1034,NA())</f>
        <v/>
      </c>
    </row>
    <row r="1038">
      <c r="U1038">
        <f>IF(selection!H1035=1,selection!M1035,NA())</f>
        <v/>
      </c>
      <c r="V1038">
        <f>IF(selection!H1035=1,selection!N1035,NA())</f>
        <v/>
      </c>
      <c r="W1038">
        <f>IF(selection!H1035=0,selection!M1035,NA())</f>
        <v/>
      </c>
      <c r="X1038">
        <f>IF(selection!H1035=0,selection!N1035,NA())</f>
        <v/>
      </c>
    </row>
    <row r="1039">
      <c r="U1039">
        <f>IF(selection!H1036=1,selection!M1036,NA())</f>
        <v/>
      </c>
      <c r="V1039">
        <f>IF(selection!H1036=1,selection!N1036,NA())</f>
        <v/>
      </c>
      <c r="W1039">
        <f>IF(selection!H1036=0,selection!M1036,NA())</f>
        <v/>
      </c>
      <c r="X1039">
        <f>IF(selection!H1036=0,selection!N1036,NA())</f>
        <v/>
      </c>
    </row>
    <row r="1040">
      <c r="U1040">
        <f>IF(selection!H1037=1,selection!M1037,NA())</f>
        <v/>
      </c>
      <c r="V1040">
        <f>IF(selection!H1037=1,selection!N1037,NA())</f>
        <v/>
      </c>
      <c r="W1040">
        <f>IF(selection!H1037=0,selection!M1037,NA())</f>
        <v/>
      </c>
      <c r="X1040">
        <f>IF(selection!H1037=0,selection!N1037,NA())</f>
        <v/>
      </c>
    </row>
    <row r="1041">
      <c r="U1041">
        <f>IF(selection!H1038=1,selection!M1038,NA())</f>
        <v/>
      </c>
      <c r="V1041">
        <f>IF(selection!H1038=1,selection!N1038,NA())</f>
        <v/>
      </c>
      <c r="W1041">
        <f>IF(selection!H1038=0,selection!M1038,NA())</f>
        <v/>
      </c>
      <c r="X1041">
        <f>IF(selection!H1038=0,selection!N1038,NA())</f>
        <v/>
      </c>
    </row>
    <row r="1042">
      <c r="U1042">
        <f>IF(selection!H1039=1,selection!M1039,NA())</f>
        <v/>
      </c>
      <c r="V1042">
        <f>IF(selection!H1039=1,selection!N1039,NA())</f>
        <v/>
      </c>
      <c r="W1042">
        <f>IF(selection!H1039=0,selection!M1039,NA())</f>
        <v/>
      </c>
      <c r="X1042">
        <f>IF(selection!H1039=0,selection!N1039,NA())</f>
        <v/>
      </c>
    </row>
    <row r="1043">
      <c r="U1043">
        <f>IF(selection!H1040=1,selection!M1040,NA())</f>
        <v/>
      </c>
      <c r="V1043">
        <f>IF(selection!H1040=1,selection!N1040,NA())</f>
        <v/>
      </c>
      <c r="W1043">
        <f>IF(selection!H1040=0,selection!M1040,NA())</f>
        <v/>
      </c>
      <c r="X1043">
        <f>IF(selection!H1040=0,selection!N1040,NA())</f>
        <v/>
      </c>
    </row>
    <row r="1044">
      <c r="U1044">
        <f>IF(selection!H1041=1,selection!M1041,NA())</f>
        <v/>
      </c>
      <c r="V1044">
        <f>IF(selection!H1041=1,selection!N1041,NA())</f>
        <v/>
      </c>
      <c r="W1044">
        <f>IF(selection!H1041=0,selection!M1041,NA())</f>
        <v/>
      </c>
      <c r="X1044">
        <f>IF(selection!H1041=0,selection!N1041,NA())</f>
        <v/>
      </c>
    </row>
    <row r="1045">
      <c r="U1045">
        <f>IF(selection!H1042=1,selection!M1042,NA())</f>
        <v/>
      </c>
      <c r="V1045">
        <f>IF(selection!H1042=1,selection!N1042,NA())</f>
        <v/>
      </c>
      <c r="W1045">
        <f>IF(selection!H1042=0,selection!M1042,NA())</f>
        <v/>
      </c>
      <c r="X1045">
        <f>IF(selection!H1042=0,selection!N1042,NA())</f>
        <v/>
      </c>
    </row>
    <row r="1046">
      <c r="U1046">
        <f>IF(selection!H1043=1,selection!M1043,NA())</f>
        <v/>
      </c>
      <c r="V1046">
        <f>IF(selection!H1043=1,selection!N1043,NA())</f>
        <v/>
      </c>
      <c r="W1046">
        <f>IF(selection!H1043=0,selection!M1043,NA())</f>
        <v/>
      </c>
      <c r="X1046">
        <f>IF(selection!H1043=0,selection!N1043,NA())</f>
        <v/>
      </c>
    </row>
    <row r="1047">
      <c r="U1047">
        <f>IF(selection!H1044=1,selection!M1044,NA())</f>
        <v/>
      </c>
      <c r="V1047">
        <f>IF(selection!H1044=1,selection!N1044,NA())</f>
        <v/>
      </c>
      <c r="W1047">
        <f>IF(selection!H1044=0,selection!M1044,NA())</f>
        <v/>
      </c>
      <c r="X1047">
        <f>IF(selection!H1044=0,selection!N1044,NA())</f>
        <v/>
      </c>
    </row>
    <row r="1048">
      <c r="U1048">
        <f>IF(selection!H1045=1,selection!M1045,NA())</f>
        <v/>
      </c>
      <c r="V1048">
        <f>IF(selection!H1045=1,selection!N1045,NA())</f>
        <v/>
      </c>
      <c r="W1048">
        <f>IF(selection!H1045=0,selection!M1045,NA())</f>
        <v/>
      </c>
      <c r="X1048">
        <f>IF(selection!H1045=0,selection!N1045,NA())</f>
        <v/>
      </c>
    </row>
    <row r="1049">
      <c r="U1049">
        <f>IF(selection!H1046=1,selection!M1046,NA())</f>
        <v/>
      </c>
      <c r="V1049">
        <f>IF(selection!H1046=1,selection!N1046,NA())</f>
        <v/>
      </c>
      <c r="W1049">
        <f>IF(selection!H1046=0,selection!M1046,NA())</f>
        <v/>
      </c>
      <c r="X1049">
        <f>IF(selection!H1046=0,selection!N1046,NA())</f>
        <v/>
      </c>
    </row>
    <row r="1050">
      <c r="U1050">
        <f>IF(selection!H1047=1,selection!M1047,NA())</f>
        <v/>
      </c>
      <c r="V1050">
        <f>IF(selection!H1047=1,selection!N1047,NA())</f>
        <v/>
      </c>
      <c r="W1050">
        <f>IF(selection!H1047=0,selection!M1047,NA())</f>
        <v/>
      </c>
      <c r="X1050">
        <f>IF(selection!H1047=0,selection!N1047,NA())</f>
        <v/>
      </c>
    </row>
    <row r="1051">
      <c r="U1051">
        <f>IF(selection!H1048=1,selection!M1048,NA())</f>
        <v/>
      </c>
      <c r="V1051">
        <f>IF(selection!H1048=1,selection!N1048,NA())</f>
        <v/>
      </c>
      <c r="W1051">
        <f>IF(selection!H1048=0,selection!M1048,NA())</f>
        <v/>
      </c>
      <c r="X1051">
        <f>IF(selection!H1048=0,selection!N1048,NA())</f>
        <v/>
      </c>
    </row>
    <row r="1052">
      <c r="U1052">
        <f>IF(selection!H1049=1,selection!M1049,NA())</f>
        <v/>
      </c>
      <c r="V1052">
        <f>IF(selection!H1049=1,selection!N1049,NA())</f>
        <v/>
      </c>
      <c r="W1052">
        <f>IF(selection!H1049=0,selection!M1049,NA())</f>
        <v/>
      </c>
      <c r="X1052">
        <f>IF(selection!H1049=0,selection!N1049,NA())</f>
        <v/>
      </c>
    </row>
    <row r="1053">
      <c r="U1053">
        <f>IF(selection!H1050=1,selection!M1050,NA())</f>
        <v/>
      </c>
      <c r="V1053">
        <f>IF(selection!H1050=1,selection!N1050,NA())</f>
        <v/>
      </c>
      <c r="W1053">
        <f>IF(selection!H1050=0,selection!M1050,NA())</f>
        <v/>
      </c>
      <c r="X1053">
        <f>IF(selection!H1050=0,selection!N1050,NA())</f>
        <v/>
      </c>
    </row>
    <row r="1054">
      <c r="U1054">
        <f>IF(selection!H1051=1,selection!M1051,NA())</f>
        <v/>
      </c>
      <c r="V1054">
        <f>IF(selection!H1051=1,selection!N1051,NA())</f>
        <v/>
      </c>
      <c r="W1054">
        <f>IF(selection!H1051=0,selection!M1051,NA())</f>
        <v/>
      </c>
      <c r="X1054">
        <f>IF(selection!H1051=0,selection!N1051,NA())</f>
        <v/>
      </c>
    </row>
    <row r="1055">
      <c r="U1055">
        <f>IF(selection!H1052=1,selection!M1052,NA())</f>
        <v/>
      </c>
      <c r="V1055">
        <f>IF(selection!H1052=1,selection!N1052,NA())</f>
        <v/>
      </c>
      <c r="W1055">
        <f>IF(selection!H1052=0,selection!M1052,NA())</f>
        <v/>
      </c>
      <c r="X1055">
        <f>IF(selection!H1052=0,selection!N1052,NA())</f>
        <v/>
      </c>
    </row>
    <row r="1056">
      <c r="U1056">
        <f>IF(selection!H1053=1,selection!M1053,NA())</f>
        <v/>
      </c>
      <c r="V1056">
        <f>IF(selection!H1053=1,selection!N1053,NA())</f>
        <v/>
      </c>
      <c r="W1056">
        <f>IF(selection!H1053=0,selection!M1053,NA())</f>
        <v/>
      </c>
      <c r="X1056">
        <f>IF(selection!H1053=0,selection!N1053,NA())</f>
        <v/>
      </c>
    </row>
    <row r="1057">
      <c r="U1057">
        <f>IF(selection!H1054=1,selection!M1054,NA())</f>
        <v/>
      </c>
      <c r="V1057">
        <f>IF(selection!H1054=1,selection!N1054,NA())</f>
        <v/>
      </c>
      <c r="W1057">
        <f>IF(selection!H1054=0,selection!M1054,NA())</f>
        <v/>
      </c>
      <c r="X1057">
        <f>IF(selection!H1054=0,selection!N1054,NA())</f>
        <v/>
      </c>
    </row>
    <row r="1058">
      <c r="U1058">
        <f>IF(selection!H1055=1,selection!M1055,NA())</f>
        <v/>
      </c>
      <c r="V1058">
        <f>IF(selection!H1055=1,selection!N1055,NA())</f>
        <v/>
      </c>
      <c r="W1058">
        <f>IF(selection!H1055=0,selection!M1055,NA())</f>
        <v/>
      </c>
      <c r="X1058">
        <f>IF(selection!H1055=0,selection!N1055,NA())</f>
        <v/>
      </c>
    </row>
    <row r="1059">
      <c r="U1059">
        <f>IF(selection!H1056=1,selection!M1056,NA())</f>
        <v/>
      </c>
      <c r="V1059">
        <f>IF(selection!H1056=1,selection!N1056,NA())</f>
        <v/>
      </c>
      <c r="W1059">
        <f>IF(selection!H1056=0,selection!M1056,NA())</f>
        <v/>
      </c>
      <c r="X1059">
        <f>IF(selection!H1056=0,selection!N1056,NA())</f>
        <v/>
      </c>
    </row>
    <row r="1060">
      <c r="U1060">
        <f>IF(selection!H1057=1,selection!M1057,NA())</f>
        <v/>
      </c>
      <c r="V1060">
        <f>IF(selection!H1057=1,selection!N1057,NA())</f>
        <v/>
      </c>
      <c r="W1060">
        <f>IF(selection!H1057=0,selection!M1057,NA())</f>
        <v/>
      </c>
      <c r="X1060">
        <f>IF(selection!H1057=0,selection!N1057,NA())</f>
        <v/>
      </c>
    </row>
    <row r="1061">
      <c r="U1061">
        <f>IF(selection!H1058=1,selection!M1058,NA())</f>
        <v/>
      </c>
      <c r="V1061">
        <f>IF(selection!H1058=1,selection!N1058,NA())</f>
        <v/>
      </c>
      <c r="W1061">
        <f>IF(selection!H1058=0,selection!M1058,NA())</f>
        <v/>
      </c>
      <c r="X1061">
        <f>IF(selection!H1058=0,selection!N1058,NA())</f>
        <v/>
      </c>
    </row>
    <row r="1062">
      <c r="U1062">
        <f>IF(selection!H1059=1,selection!M1059,NA())</f>
        <v/>
      </c>
      <c r="V1062">
        <f>IF(selection!H1059=1,selection!N1059,NA())</f>
        <v/>
      </c>
      <c r="W1062">
        <f>IF(selection!H1059=0,selection!M1059,NA())</f>
        <v/>
      </c>
      <c r="X1062">
        <f>IF(selection!H1059=0,selection!N1059,NA())</f>
        <v/>
      </c>
    </row>
    <row r="1063">
      <c r="U1063">
        <f>IF(selection!H1060=1,selection!M1060,NA())</f>
        <v/>
      </c>
      <c r="V1063">
        <f>IF(selection!H1060=1,selection!N1060,NA())</f>
        <v/>
      </c>
      <c r="W1063">
        <f>IF(selection!H1060=0,selection!M1060,NA())</f>
        <v/>
      </c>
      <c r="X1063">
        <f>IF(selection!H1060=0,selection!N1060,NA())</f>
        <v/>
      </c>
    </row>
    <row r="1064">
      <c r="U1064">
        <f>IF(selection!H1061=1,selection!M1061,NA())</f>
        <v/>
      </c>
      <c r="V1064">
        <f>IF(selection!H1061=1,selection!N1061,NA())</f>
        <v/>
      </c>
      <c r="W1064">
        <f>IF(selection!H1061=0,selection!M1061,NA())</f>
        <v/>
      </c>
      <c r="X1064">
        <f>IF(selection!H1061=0,selection!N1061,NA())</f>
        <v/>
      </c>
    </row>
    <row r="1065">
      <c r="U1065">
        <f>IF(selection!H1062=1,selection!M1062,NA())</f>
        <v/>
      </c>
      <c r="V1065">
        <f>IF(selection!H1062=1,selection!N1062,NA())</f>
        <v/>
      </c>
      <c r="W1065">
        <f>IF(selection!H1062=0,selection!M1062,NA())</f>
        <v/>
      </c>
      <c r="X1065">
        <f>IF(selection!H1062=0,selection!N1062,NA())</f>
        <v/>
      </c>
    </row>
    <row r="1066">
      <c r="U1066">
        <f>IF(selection!H1063=1,selection!M1063,NA())</f>
        <v/>
      </c>
      <c r="V1066">
        <f>IF(selection!H1063=1,selection!N1063,NA())</f>
        <v/>
      </c>
      <c r="W1066">
        <f>IF(selection!H1063=0,selection!M1063,NA())</f>
        <v/>
      </c>
      <c r="X1066">
        <f>IF(selection!H1063=0,selection!N1063,NA())</f>
        <v/>
      </c>
    </row>
    <row r="1067">
      <c r="U1067">
        <f>IF(selection!H1064=1,selection!M1064,NA())</f>
        <v/>
      </c>
      <c r="V1067">
        <f>IF(selection!H1064=1,selection!N1064,NA())</f>
        <v/>
      </c>
      <c r="W1067">
        <f>IF(selection!H1064=0,selection!M1064,NA())</f>
        <v/>
      </c>
      <c r="X1067">
        <f>IF(selection!H1064=0,selection!N1064,NA())</f>
        <v/>
      </c>
    </row>
    <row r="1068">
      <c r="U1068">
        <f>IF(selection!H1065=1,selection!M1065,NA())</f>
        <v/>
      </c>
      <c r="V1068">
        <f>IF(selection!H1065=1,selection!N1065,NA())</f>
        <v/>
      </c>
      <c r="W1068">
        <f>IF(selection!H1065=0,selection!M1065,NA())</f>
        <v/>
      </c>
      <c r="X1068">
        <f>IF(selection!H1065=0,selection!N1065,NA())</f>
        <v/>
      </c>
    </row>
    <row r="1069">
      <c r="U1069">
        <f>IF(selection!H1066=1,selection!M1066,NA())</f>
        <v/>
      </c>
      <c r="V1069">
        <f>IF(selection!H1066=1,selection!N1066,NA())</f>
        <v/>
      </c>
      <c r="W1069">
        <f>IF(selection!H1066=0,selection!M1066,NA())</f>
        <v/>
      </c>
      <c r="X1069">
        <f>IF(selection!H1066=0,selection!N1066,NA())</f>
        <v/>
      </c>
    </row>
    <row r="1070">
      <c r="U1070">
        <f>IF(selection!H1067=1,selection!M1067,NA())</f>
        <v/>
      </c>
      <c r="V1070">
        <f>IF(selection!H1067=1,selection!N1067,NA())</f>
        <v/>
      </c>
      <c r="W1070">
        <f>IF(selection!H1067=0,selection!M1067,NA())</f>
        <v/>
      </c>
      <c r="X1070">
        <f>IF(selection!H1067=0,selection!N1067,NA())</f>
        <v/>
      </c>
    </row>
    <row r="1071">
      <c r="U1071">
        <f>IF(selection!H1068=1,selection!M1068,NA())</f>
        <v/>
      </c>
      <c r="V1071">
        <f>IF(selection!H1068=1,selection!N1068,NA())</f>
        <v/>
      </c>
      <c r="W1071">
        <f>IF(selection!H1068=0,selection!M1068,NA())</f>
        <v/>
      </c>
      <c r="X1071">
        <f>IF(selection!H1068=0,selection!N1068,NA())</f>
        <v/>
      </c>
    </row>
    <row r="1072">
      <c r="U1072">
        <f>IF(selection!H1069=1,selection!M1069,NA())</f>
        <v/>
      </c>
      <c r="V1072">
        <f>IF(selection!H1069=1,selection!N1069,NA())</f>
        <v/>
      </c>
      <c r="W1072">
        <f>IF(selection!H1069=0,selection!M1069,NA())</f>
        <v/>
      </c>
      <c r="X1072">
        <f>IF(selection!H1069=0,selection!N1069,NA())</f>
        <v/>
      </c>
    </row>
    <row r="1073">
      <c r="U1073">
        <f>IF(selection!H1070=1,selection!M1070,NA())</f>
        <v/>
      </c>
      <c r="V1073">
        <f>IF(selection!H1070=1,selection!N1070,NA())</f>
        <v/>
      </c>
      <c r="W1073">
        <f>IF(selection!H1070=0,selection!M1070,NA())</f>
        <v/>
      </c>
      <c r="X1073">
        <f>IF(selection!H1070=0,selection!N1070,NA())</f>
        <v/>
      </c>
    </row>
    <row r="1074">
      <c r="U1074">
        <f>IF(selection!H1071=1,selection!M1071,NA())</f>
        <v/>
      </c>
      <c r="V1074">
        <f>IF(selection!H1071=1,selection!N1071,NA())</f>
        <v/>
      </c>
      <c r="W1074">
        <f>IF(selection!H1071=0,selection!M1071,NA())</f>
        <v/>
      </c>
      <c r="X1074">
        <f>IF(selection!H1071=0,selection!N1071,NA())</f>
        <v/>
      </c>
    </row>
    <row r="1075">
      <c r="U1075">
        <f>IF(selection!H1072=1,selection!M1072,NA())</f>
        <v/>
      </c>
      <c r="V1075">
        <f>IF(selection!H1072=1,selection!N1072,NA())</f>
        <v/>
      </c>
      <c r="W1075">
        <f>IF(selection!H1072=0,selection!M1072,NA())</f>
        <v/>
      </c>
      <c r="X1075">
        <f>IF(selection!H1072=0,selection!N1072,NA())</f>
        <v/>
      </c>
    </row>
    <row r="1076">
      <c r="U1076">
        <f>IF(selection!H1073=1,selection!M1073,NA())</f>
        <v/>
      </c>
      <c r="V1076">
        <f>IF(selection!H1073=1,selection!N1073,NA())</f>
        <v/>
      </c>
      <c r="W1076">
        <f>IF(selection!H1073=0,selection!M1073,NA())</f>
        <v/>
      </c>
      <c r="X1076">
        <f>IF(selection!H1073=0,selection!N1073,NA())</f>
        <v/>
      </c>
    </row>
    <row r="1077">
      <c r="U1077">
        <f>IF(selection!H1074=1,selection!M1074,NA())</f>
        <v/>
      </c>
      <c r="V1077">
        <f>IF(selection!H1074=1,selection!N1074,NA())</f>
        <v/>
      </c>
      <c r="W1077">
        <f>IF(selection!H1074=0,selection!M1074,NA())</f>
        <v/>
      </c>
      <c r="X1077">
        <f>IF(selection!H1074=0,selection!N1074,NA())</f>
        <v/>
      </c>
    </row>
    <row r="1078">
      <c r="U1078">
        <f>IF(selection!H1075=1,selection!M1075,NA())</f>
        <v/>
      </c>
      <c r="V1078">
        <f>IF(selection!H1075=1,selection!N1075,NA())</f>
        <v/>
      </c>
      <c r="W1078">
        <f>IF(selection!H1075=0,selection!M1075,NA())</f>
        <v/>
      </c>
      <c r="X1078">
        <f>IF(selection!H1075=0,selection!N1075,NA())</f>
        <v/>
      </c>
    </row>
    <row r="1079">
      <c r="U1079">
        <f>IF(selection!H1076=1,selection!M1076,NA())</f>
        <v/>
      </c>
      <c r="V1079">
        <f>IF(selection!H1076=1,selection!N1076,NA())</f>
        <v/>
      </c>
      <c r="W1079">
        <f>IF(selection!H1076=0,selection!M1076,NA())</f>
        <v/>
      </c>
      <c r="X1079">
        <f>IF(selection!H1076=0,selection!N1076,NA())</f>
        <v/>
      </c>
    </row>
    <row r="1080">
      <c r="U1080">
        <f>IF(selection!H1077=1,selection!M1077,NA())</f>
        <v/>
      </c>
      <c r="V1080">
        <f>IF(selection!H1077=1,selection!N1077,NA())</f>
        <v/>
      </c>
      <c r="W1080">
        <f>IF(selection!H1077=0,selection!M1077,NA())</f>
        <v/>
      </c>
      <c r="X1080">
        <f>IF(selection!H1077=0,selection!N1077,NA())</f>
        <v/>
      </c>
    </row>
    <row r="1081">
      <c r="U1081">
        <f>IF(selection!H1078=1,selection!M1078,NA())</f>
        <v/>
      </c>
      <c r="V1081">
        <f>IF(selection!H1078=1,selection!N1078,NA())</f>
        <v/>
      </c>
      <c r="W1081">
        <f>IF(selection!H1078=0,selection!M1078,NA())</f>
        <v/>
      </c>
      <c r="X1081">
        <f>IF(selection!H1078=0,selection!N1078,NA())</f>
        <v/>
      </c>
    </row>
    <row r="1082">
      <c r="U1082">
        <f>IF(selection!H1079=1,selection!M1079,NA())</f>
        <v/>
      </c>
      <c r="V1082">
        <f>IF(selection!H1079=1,selection!N1079,NA())</f>
        <v/>
      </c>
      <c r="W1082">
        <f>IF(selection!H1079=0,selection!M1079,NA())</f>
        <v/>
      </c>
      <c r="X1082">
        <f>IF(selection!H1079=0,selection!N1079,NA())</f>
        <v/>
      </c>
    </row>
    <row r="1083">
      <c r="U1083">
        <f>IF(selection!H1080=1,selection!M1080,NA())</f>
        <v/>
      </c>
      <c r="V1083">
        <f>IF(selection!H1080=1,selection!N1080,NA())</f>
        <v/>
      </c>
      <c r="W1083">
        <f>IF(selection!H1080=0,selection!M1080,NA())</f>
        <v/>
      </c>
      <c r="X1083">
        <f>IF(selection!H1080=0,selection!N1080,NA())</f>
        <v/>
      </c>
    </row>
    <row r="1084">
      <c r="U1084">
        <f>IF(selection!H1081=1,selection!M1081,NA())</f>
        <v/>
      </c>
      <c r="V1084">
        <f>IF(selection!H1081=1,selection!N1081,NA())</f>
        <v/>
      </c>
      <c r="W1084">
        <f>IF(selection!H1081=0,selection!M1081,NA())</f>
        <v/>
      </c>
      <c r="X1084">
        <f>IF(selection!H1081=0,selection!N1081,NA())</f>
        <v/>
      </c>
    </row>
    <row r="1085">
      <c r="U1085">
        <f>IF(selection!H1082=1,selection!M1082,NA())</f>
        <v/>
      </c>
      <c r="V1085">
        <f>IF(selection!H1082=1,selection!N1082,NA())</f>
        <v/>
      </c>
      <c r="W1085">
        <f>IF(selection!H1082=0,selection!M1082,NA())</f>
        <v/>
      </c>
      <c r="X1085">
        <f>IF(selection!H1082=0,selection!N1082,NA())</f>
        <v/>
      </c>
    </row>
    <row r="1086">
      <c r="U1086">
        <f>IF(selection!H1083=1,selection!M1083,NA())</f>
        <v/>
      </c>
      <c r="V1086">
        <f>IF(selection!H1083=1,selection!N1083,NA())</f>
        <v/>
      </c>
      <c r="W1086">
        <f>IF(selection!H1083=0,selection!M1083,NA())</f>
        <v/>
      </c>
      <c r="X1086">
        <f>IF(selection!H1083=0,selection!N1083,NA())</f>
        <v/>
      </c>
    </row>
    <row r="1087">
      <c r="U1087">
        <f>IF(selection!H1084=1,selection!M1084,NA())</f>
        <v/>
      </c>
      <c r="V1087">
        <f>IF(selection!H1084=1,selection!N1084,NA())</f>
        <v/>
      </c>
      <c r="W1087">
        <f>IF(selection!H1084=0,selection!M1084,NA())</f>
        <v/>
      </c>
      <c r="X1087">
        <f>IF(selection!H1084=0,selection!N1084,NA())</f>
        <v/>
      </c>
    </row>
    <row r="1088">
      <c r="U1088">
        <f>IF(selection!H1085=1,selection!M1085,NA())</f>
        <v/>
      </c>
      <c r="V1088">
        <f>IF(selection!H1085=1,selection!N1085,NA())</f>
        <v/>
      </c>
      <c r="W1088">
        <f>IF(selection!H1085=0,selection!M1085,NA())</f>
        <v/>
      </c>
      <c r="X1088">
        <f>IF(selection!H1085=0,selection!N1085,NA())</f>
        <v/>
      </c>
    </row>
    <row r="1089">
      <c r="U1089">
        <f>IF(selection!H1086=1,selection!M1086,NA())</f>
        <v/>
      </c>
      <c r="V1089">
        <f>IF(selection!H1086=1,selection!N1086,NA())</f>
        <v/>
      </c>
      <c r="W1089">
        <f>IF(selection!H1086=0,selection!M1086,NA())</f>
        <v/>
      </c>
      <c r="X1089">
        <f>IF(selection!H1086=0,selection!N1086,NA())</f>
        <v/>
      </c>
    </row>
    <row r="1090">
      <c r="U1090">
        <f>IF(selection!H1087=1,selection!M1087,NA())</f>
        <v/>
      </c>
      <c r="V1090">
        <f>IF(selection!H1087=1,selection!N1087,NA())</f>
        <v/>
      </c>
      <c r="W1090">
        <f>IF(selection!H1087=0,selection!M1087,NA())</f>
        <v/>
      </c>
      <c r="X1090">
        <f>IF(selection!H1087=0,selection!N1087,NA())</f>
        <v/>
      </c>
    </row>
    <row r="1091">
      <c r="U1091">
        <f>IF(selection!H1088=1,selection!M1088,NA())</f>
        <v/>
      </c>
      <c r="V1091">
        <f>IF(selection!H1088=1,selection!N1088,NA())</f>
        <v/>
      </c>
      <c r="W1091">
        <f>IF(selection!H1088=0,selection!M1088,NA())</f>
        <v/>
      </c>
      <c r="X1091">
        <f>IF(selection!H1088=0,selection!N1088,NA())</f>
        <v/>
      </c>
    </row>
    <row r="1092">
      <c r="U1092">
        <f>IF(selection!H1089=1,selection!M1089,NA())</f>
        <v/>
      </c>
      <c r="V1092">
        <f>IF(selection!H1089=1,selection!N1089,NA())</f>
        <v/>
      </c>
      <c r="W1092">
        <f>IF(selection!H1089=0,selection!M1089,NA())</f>
        <v/>
      </c>
      <c r="X1092">
        <f>IF(selection!H1089=0,selection!N1089,NA())</f>
        <v/>
      </c>
    </row>
    <row r="1093">
      <c r="U1093">
        <f>IF(selection!H1090=1,selection!M1090,NA())</f>
        <v/>
      </c>
      <c r="V1093">
        <f>IF(selection!H1090=1,selection!N1090,NA())</f>
        <v/>
      </c>
      <c r="W1093">
        <f>IF(selection!H1090=0,selection!M1090,NA())</f>
        <v/>
      </c>
      <c r="X1093">
        <f>IF(selection!H1090=0,selection!N1090,NA())</f>
        <v/>
      </c>
    </row>
    <row r="1094">
      <c r="U1094">
        <f>IF(selection!H1091=1,selection!M1091,NA())</f>
        <v/>
      </c>
      <c r="V1094">
        <f>IF(selection!H1091=1,selection!N1091,NA())</f>
        <v/>
      </c>
      <c r="W1094">
        <f>IF(selection!H1091=0,selection!M1091,NA())</f>
        <v/>
      </c>
      <c r="X1094">
        <f>IF(selection!H1091=0,selection!N1091,NA())</f>
        <v/>
      </c>
    </row>
    <row r="1095">
      <c r="U1095">
        <f>IF(selection!H1092=1,selection!M1092,NA())</f>
        <v/>
      </c>
      <c r="V1095">
        <f>IF(selection!H1092=1,selection!N1092,NA())</f>
        <v/>
      </c>
      <c r="W1095">
        <f>IF(selection!H1092=0,selection!M1092,NA())</f>
        <v/>
      </c>
      <c r="X1095">
        <f>IF(selection!H1092=0,selection!N1092,NA())</f>
        <v/>
      </c>
    </row>
    <row r="1096">
      <c r="U1096">
        <f>IF(selection!H1093=1,selection!M1093,NA())</f>
        <v/>
      </c>
      <c r="V1096">
        <f>IF(selection!H1093=1,selection!N1093,NA())</f>
        <v/>
      </c>
      <c r="W1096">
        <f>IF(selection!H1093=0,selection!M1093,NA())</f>
        <v/>
      </c>
      <c r="X1096">
        <f>IF(selection!H1093=0,selection!N1093,NA())</f>
        <v/>
      </c>
    </row>
    <row r="1097">
      <c r="U1097">
        <f>IF(selection!H1094=1,selection!M1094,NA())</f>
        <v/>
      </c>
      <c r="V1097">
        <f>IF(selection!H1094=1,selection!N1094,NA())</f>
        <v/>
      </c>
      <c r="W1097">
        <f>IF(selection!H1094=0,selection!M1094,NA())</f>
        <v/>
      </c>
      <c r="X1097">
        <f>IF(selection!H1094=0,selection!N1094,NA())</f>
        <v/>
      </c>
    </row>
    <row r="1098">
      <c r="U1098">
        <f>IF(selection!H1095=1,selection!M1095,NA())</f>
        <v/>
      </c>
      <c r="V1098">
        <f>IF(selection!H1095=1,selection!N1095,NA())</f>
        <v/>
      </c>
      <c r="W1098">
        <f>IF(selection!H1095=0,selection!M1095,NA())</f>
        <v/>
      </c>
      <c r="X1098">
        <f>IF(selection!H1095=0,selection!N1095,NA())</f>
        <v/>
      </c>
    </row>
    <row r="1099">
      <c r="U1099">
        <f>IF(selection!H1096=1,selection!M1096,NA())</f>
        <v/>
      </c>
      <c r="V1099">
        <f>IF(selection!H1096=1,selection!N1096,NA())</f>
        <v/>
      </c>
      <c r="W1099">
        <f>IF(selection!H1096=0,selection!M1096,NA())</f>
        <v/>
      </c>
      <c r="X1099">
        <f>IF(selection!H1096=0,selection!N1096,NA())</f>
        <v/>
      </c>
    </row>
    <row r="1100">
      <c r="U1100">
        <f>IF(selection!H1097=1,selection!M1097,NA())</f>
        <v/>
      </c>
      <c r="V1100">
        <f>IF(selection!H1097=1,selection!N1097,NA())</f>
        <v/>
      </c>
      <c r="W1100">
        <f>IF(selection!H1097=0,selection!M1097,NA())</f>
        <v/>
      </c>
      <c r="X1100">
        <f>IF(selection!H1097=0,selection!N1097,NA())</f>
        <v/>
      </c>
    </row>
    <row r="1101">
      <c r="U1101">
        <f>IF(selection!H1098=1,selection!M1098,NA())</f>
        <v/>
      </c>
      <c r="V1101">
        <f>IF(selection!H1098=1,selection!N1098,NA())</f>
        <v/>
      </c>
      <c r="W1101">
        <f>IF(selection!H1098=0,selection!M1098,NA())</f>
        <v/>
      </c>
      <c r="X1101">
        <f>IF(selection!H1098=0,selection!N1098,NA())</f>
        <v/>
      </c>
    </row>
    <row r="1102">
      <c r="U1102">
        <f>IF(selection!H1099=1,selection!M1099,NA())</f>
        <v/>
      </c>
      <c r="V1102">
        <f>IF(selection!H1099=1,selection!N1099,NA())</f>
        <v/>
      </c>
      <c r="W1102">
        <f>IF(selection!H1099=0,selection!M1099,NA())</f>
        <v/>
      </c>
      <c r="X1102">
        <f>IF(selection!H1099=0,selection!N1099,NA())</f>
        <v/>
      </c>
    </row>
    <row r="1103">
      <c r="U1103">
        <f>IF(selection!H1100=1,selection!M1100,NA())</f>
        <v/>
      </c>
      <c r="V1103">
        <f>IF(selection!H1100=1,selection!N1100,NA())</f>
        <v/>
      </c>
      <c r="W1103">
        <f>IF(selection!H1100=0,selection!M1100,NA())</f>
        <v/>
      </c>
      <c r="X1103">
        <f>IF(selection!H1100=0,selection!N1100,NA())</f>
        <v/>
      </c>
    </row>
    <row r="1104">
      <c r="U1104">
        <f>IF(selection!H1101=1,selection!M1101,NA())</f>
        <v/>
      </c>
      <c r="V1104">
        <f>IF(selection!H1101=1,selection!N1101,NA())</f>
        <v/>
      </c>
      <c r="W1104">
        <f>IF(selection!H1101=0,selection!M1101,NA())</f>
        <v/>
      </c>
      <c r="X1104">
        <f>IF(selection!H1101=0,selection!N1101,NA())</f>
        <v/>
      </c>
    </row>
    <row r="1105">
      <c r="U1105">
        <f>IF(selection!H1102=1,selection!M1102,NA())</f>
        <v/>
      </c>
      <c r="V1105">
        <f>IF(selection!H1102=1,selection!N1102,NA())</f>
        <v/>
      </c>
      <c r="W1105">
        <f>IF(selection!H1102=0,selection!M1102,NA())</f>
        <v/>
      </c>
      <c r="X1105">
        <f>IF(selection!H1102=0,selection!N1102,NA())</f>
        <v/>
      </c>
    </row>
    <row r="1106">
      <c r="U1106">
        <f>IF(selection!H1103=1,selection!M1103,NA())</f>
        <v/>
      </c>
      <c r="V1106">
        <f>IF(selection!H1103=1,selection!N1103,NA())</f>
        <v/>
      </c>
      <c r="W1106">
        <f>IF(selection!H1103=0,selection!M1103,NA())</f>
        <v/>
      </c>
      <c r="X1106">
        <f>IF(selection!H1103=0,selection!N1103,NA())</f>
        <v/>
      </c>
    </row>
    <row r="1107">
      <c r="U1107">
        <f>IF(selection!H1104=1,selection!M1104,NA())</f>
        <v/>
      </c>
      <c r="V1107">
        <f>IF(selection!H1104=1,selection!N1104,NA())</f>
        <v/>
      </c>
      <c r="W1107">
        <f>IF(selection!H1104=0,selection!M1104,NA())</f>
        <v/>
      </c>
      <c r="X1107">
        <f>IF(selection!H1104=0,selection!N1104,NA())</f>
        <v/>
      </c>
    </row>
    <row r="1108">
      <c r="U1108">
        <f>IF(selection!H1105=1,selection!M1105,NA())</f>
        <v/>
      </c>
      <c r="V1108">
        <f>IF(selection!H1105=1,selection!N1105,NA())</f>
        <v/>
      </c>
      <c r="W1108">
        <f>IF(selection!H1105=0,selection!M1105,NA())</f>
        <v/>
      </c>
      <c r="X1108">
        <f>IF(selection!H1105=0,selection!N1105,NA())</f>
        <v/>
      </c>
    </row>
    <row r="1109">
      <c r="U1109">
        <f>IF(selection!H1106=1,selection!M1106,NA())</f>
        <v/>
      </c>
      <c r="V1109">
        <f>IF(selection!H1106=1,selection!N1106,NA())</f>
        <v/>
      </c>
      <c r="W1109">
        <f>IF(selection!H1106=0,selection!M1106,NA())</f>
        <v/>
      </c>
      <c r="X1109">
        <f>IF(selection!H1106=0,selection!N1106,NA())</f>
        <v/>
      </c>
    </row>
    <row r="1110">
      <c r="U1110">
        <f>IF(selection!H1107=1,selection!M1107,NA())</f>
        <v/>
      </c>
      <c r="V1110">
        <f>IF(selection!H1107=1,selection!N1107,NA())</f>
        <v/>
      </c>
      <c r="W1110">
        <f>IF(selection!H1107=0,selection!M1107,NA())</f>
        <v/>
      </c>
      <c r="X1110">
        <f>IF(selection!H1107=0,selection!N1107,NA())</f>
        <v/>
      </c>
    </row>
    <row r="1111">
      <c r="U1111">
        <f>IF(selection!H1108=1,selection!M1108,NA())</f>
        <v/>
      </c>
      <c r="V1111">
        <f>IF(selection!H1108=1,selection!N1108,NA())</f>
        <v/>
      </c>
      <c r="W1111">
        <f>IF(selection!H1108=0,selection!M1108,NA())</f>
        <v/>
      </c>
      <c r="X1111">
        <f>IF(selection!H1108=0,selection!N1108,NA())</f>
        <v/>
      </c>
    </row>
    <row r="1112">
      <c r="U1112">
        <f>IF(selection!H1109=1,selection!M1109,NA())</f>
        <v/>
      </c>
      <c r="V1112">
        <f>IF(selection!H1109=1,selection!N1109,NA())</f>
        <v/>
      </c>
      <c r="W1112">
        <f>IF(selection!H1109=0,selection!M1109,NA())</f>
        <v/>
      </c>
      <c r="X1112">
        <f>IF(selection!H1109=0,selection!N1109,NA())</f>
        <v/>
      </c>
    </row>
    <row r="1113">
      <c r="U1113">
        <f>IF(selection!H1110=1,selection!M1110,NA())</f>
        <v/>
      </c>
      <c r="V1113">
        <f>IF(selection!H1110=1,selection!N1110,NA())</f>
        <v/>
      </c>
      <c r="W1113">
        <f>IF(selection!H1110=0,selection!M1110,NA())</f>
        <v/>
      </c>
      <c r="X1113">
        <f>IF(selection!H1110=0,selection!N1110,NA())</f>
        <v/>
      </c>
    </row>
    <row r="1114">
      <c r="U1114">
        <f>IF(selection!H1111=1,selection!M1111,NA())</f>
        <v/>
      </c>
      <c r="V1114">
        <f>IF(selection!H1111=1,selection!N1111,NA())</f>
        <v/>
      </c>
      <c r="W1114">
        <f>IF(selection!H1111=0,selection!M1111,NA())</f>
        <v/>
      </c>
      <c r="X1114">
        <f>IF(selection!H1111=0,selection!N1111,NA())</f>
        <v/>
      </c>
    </row>
    <row r="1115">
      <c r="U1115">
        <f>IF(selection!H1112=1,selection!M1112,NA())</f>
        <v/>
      </c>
      <c r="V1115">
        <f>IF(selection!H1112=1,selection!N1112,NA())</f>
        <v/>
      </c>
      <c r="W1115">
        <f>IF(selection!H1112=0,selection!M1112,NA())</f>
        <v/>
      </c>
      <c r="X1115">
        <f>IF(selection!H1112=0,selection!N1112,NA())</f>
        <v/>
      </c>
    </row>
    <row r="1116">
      <c r="U1116">
        <f>IF(selection!H1113=1,selection!M1113,NA())</f>
        <v/>
      </c>
      <c r="V1116">
        <f>IF(selection!H1113=1,selection!N1113,NA())</f>
        <v/>
      </c>
      <c r="W1116">
        <f>IF(selection!H1113=0,selection!M1113,NA())</f>
        <v/>
      </c>
      <c r="X1116">
        <f>IF(selection!H1113=0,selection!N1113,NA())</f>
        <v/>
      </c>
    </row>
    <row r="1117">
      <c r="U1117">
        <f>IF(selection!H1114=1,selection!M1114,NA())</f>
        <v/>
      </c>
      <c r="V1117">
        <f>IF(selection!H1114=1,selection!N1114,NA())</f>
        <v/>
      </c>
      <c r="W1117">
        <f>IF(selection!H1114=0,selection!M1114,NA())</f>
        <v/>
      </c>
      <c r="X1117">
        <f>IF(selection!H1114=0,selection!N1114,NA())</f>
        <v/>
      </c>
    </row>
    <row r="1118">
      <c r="U1118">
        <f>IF(selection!H1115=1,selection!M1115,NA())</f>
        <v/>
      </c>
      <c r="V1118">
        <f>IF(selection!H1115=1,selection!N1115,NA())</f>
        <v/>
      </c>
      <c r="W1118">
        <f>IF(selection!H1115=0,selection!M1115,NA())</f>
        <v/>
      </c>
      <c r="X1118">
        <f>IF(selection!H1115=0,selection!N1115,NA())</f>
        <v/>
      </c>
    </row>
    <row r="1119">
      <c r="U1119">
        <f>IF(selection!H1116=1,selection!M1116,NA())</f>
        <v/>
      </c>
      <c r="V1119">
        <f>IF(selection!H1116=1,selection!N1116,NA())</f>
        <v/>
      </c>
      <c r="W1119">
        <f>IF(selection!H1116=0,selection!M1116,NA())</f>
        <v/>
      </c>
      <c r="X1119">
        <f>IF(selection!H1116=0,selection!N1116,NA())</f>
        <v/>
      </c>
    </row>
    <row r="1120">
      <c r="U1120">
        <f>IF(selection!H1117=1,selection!M1117,NA())</f>
        <v/>
      </c>
      <c r="V1120">
        <f>IF(selection!H1117=1,selection!N1117,NA())</f>
        <v/>
      </c>
      <c r="W1120">
        <f>IF(selection!H1117=0,selection!M1117,NA())</f>
        <v/>
      </c>
      <c r="X1120">
        <f>IF(selection!H1117=0,selection!N1117,NA())</f>
        <v/>
      </c>
    </row>
    <row r="1121">
      <c r="U1121">
        <f>IF(selection!H1118=1,selection!M1118,NA())</f>
        <v/>
      </c>
      <c r="V1121">
        <f>IF(selection!H1118=1,selection!N1118,NA())</f>
        <v/>
      </c>
      <c r="W1121">
        <f>IF(selection!H1118=0,selection!M1118,NA())</f>
        <v/>
      </c>
      <c r="X1121">
        <f>IF(selection!H1118=0,selection!N1118,NA())</f>
        <v/>
      </c>
    </row>
    <row r="1122">
      <c r="U1122">
        <f>IF(selection!H1119=1,selection!M1119,NA())</f>
        <v/>
      </c>
      <c r="V1122">
        <f>IF(selection!H1119=1,selection!N1119,NA())</f>
        <v/>
      </c>
      <c r="W1122">
        <f>IF(selection!H1119=0,selection!M1119,NA())</f>
        <v/>
      </c>
      <c r="X1122">
        <f>IF(selection!H1119=0,selection!N1119,NA())</f>
        <v/>
      </c>
    </row>
    <row r="1123">
      <c r="U1123">
        <f>IF(selection!H1120=1,selection!M1120,NA())</f>
        <v/>
      </c>
      <c r="V1123">
        <f>IF(selection!H1120=1,selection!N1120,NA())</f>
        <v/>
      </c>
      <c r="W1123">
        <f>IF(selection!H1120=0,selection!M1120,NA())</f>
        <v/>
      </c>
      <c r="X1123">
        <f>IF(selection!H1120=0,selection!N1120,NA())</f>
        <v/>
      </c>
    </row>
    <row r="1124">
      <c r="U1124">
        <f>IF(selection!H1121=1,selection!M1121,NA())</f>
        <v/>
      </c>
      <c r="V1124">
        <f>IF(selection!H1121=1,selection!N1121,NA())</f>
        <v/>
      </c>
      <c r="W1124">
        <f>IF(selection!H1121=0,selection!M1121,NA())</f>
        <v/>
      </c>
      <c r="X1124">
        <f>IF(selection!H1121=0,selection!N1121,NA())</f>
        <v/>
      </c>
    </row>
    <row r="1125">
      <c r="U1125">
        <f>IF(selection!H1122=1,selection!M1122,NA())</f>
        <v/>
      </c>
      <c r="V1125">
        <f>IF(selection!H1122=1,selection!N1122,NA())</f>
        <v/>
      </c>
      <c r="W1125">
        <f>IF(selection!H1122=0,selection!M1122,NA())</f>
        <v/>
      </c>
      <c r="X1125">
        <f>IF(selection!H1122=0,selection!N1122,NA())</f>
        <v/>
      </c>
    </row>
    <row r="1126">
      <c r="U1126">
        <f>IF(selection!H1123=1,selection!M1123,NA())</f>
        <v/>
      </c>
      <c r="V1126">
        <f>IF(selection!H1123=1,selection!N1123,NA())</f>
        <v/>
      </c>
      <c r="W1126">
        <f>IF(selection!H1123=0,selection!M1123,NA())</f>
        <v/>
      </c>
      <c r="X1126">
        <f>IF(selection!H1123=0,selection!N1123,NA())</f>
        <v/>
      </c>
    </row>
    <row r="1127">
      <c r="U1127">
        <f>IF(selection!H1124=1,selection!M1124,NA())</f>
        <v/>
      </c>
      <c r="V1127">
        <f>IF(selection!H1124=1,selection!N1124,NA())</f>
        <v/>
      </c>
      <c r="W1127">
        <f>IF(selection!H1124=0,selection!M1124,NA())</f>
        <v/>
      </c>
      <c r="X1127">
        <f>IF(selection!H1124=0,selection!N1124,NA())</f>
        <v/>
      </c>
    </row>
    <row r="1128">
      <c r="U1128">
        <f>IF(selection!H1125=1,selection!M1125,NA())</f>
        <v/>
      </c>
      <c r="V1128">
        <f>IF(selection!H1125=1,selection!N1125,NA())</f>
        <v/>
      </c>
      <c r="W1128">
        <f>IF(selection!H1125=0,selection!M1125,NA())</f>
        <v/>
      </c>
      <c r="X1128">
        <f>IF(selection!H1125=0,selection!N1125,NA())</f>
        <v/>
      </c>
    </row>
    <row r="1129">
      <c r="U1129">
        <f>IF(selection!H1126=1,selection!M1126,NA())</f>
        <v/>
      </c>
      <c r="V1129">
        <f>IF(selection!H1126=1,selection!N1126,NA())</f>
        <v/>
      </c>
      <c r="W1129">
        <f>IF(selection!H1126=0,selection!M1126,NA())</f>
        <v/>
      </c>
      <c r="X1129">
        <f>IF(selection!H1126=0,selection!N1126,NA())</f>
        <v/>
      </c>
    </row>
    <row r="1130">
      <c r="U1130">
        <f>IF(selection!H1127=1,selection!M1127,NA())</f>
        <v/>
      </c>
      <c r="V1130">
        <f>IF(selection!H1127=1,selection!N1127,NA())</f>
        <v/>
      </c>
      <c r="W1130">
        <f>IF(selection!H1127=0,selection!M1127,NA())</f>
        <v/>
      </c>
      <c r="X1130">
        <f>IF(selection!H1127=0,selection!N1127,NA())</f>
        <v/>
      </c>
    </row>
    <row r="1131">
      <c r="U1131">
        <f>IF(selection!H1128=1,selection!M1128,NA())</f>
        <v/>
      </c>
      <c r="V1131">
        <f>IF(selection!H1128=1,selection!N1128,NA())</f>
        <v/>
      </c>
      <c r="W1131">
        <f>IF(selection!H1128=0,selection!M1128,NA())</f>
        <v/>
      </c>
      <c r="X1131">
        <f>IF(selection!H1128=0,selection!N1128,NA())</f>
        <v/>
      </c>
    </row>
    <row r="1132">
      <c r="U1132">
        <f>IF(selection!H1129=1,selection!M1129,NA())</f>
        <v/>
      </c>
      <c r="V1132">
        <f>IF(selection!H1129=1,selection!N1129,NA())</f>
        <v/>
      </c>
      <c r="W1132">
        <f>IF(selection!H1129=0,selection!M1129,NA())</f>
        <v/>
      </c>
      <c r="X1132">
        <f>IF(selection!H1129=0,selection!N1129,NA())</f>
        <v/>
      </c>
    </row>
    <row r="1133">
      <c r="U1133">
        <f>IF(selection!H1130=1,selection!M1130,NA())</f>
        <v/>
      </c>
      <c r="V1133">
        <f>IF(selection!H1130=1,selection!N1130,NA())</f>
        <v/>
      </c>
      <c r="W1133">
        <f>IF(selection!H1130=0,selection!M1130,NA())</f>
        <v/>
      </c>
      <c r="X1133">
        <f>IF(selection!H1130=0,selection!N1130,NA())</f>
        <v/>
      </c>
    </row>
    <row r="1134">
      <c r="U1134">
        <f>IF(selection!H1131=1,selection!M1131,NA())</f>
        <v/>
      </c>
      <c r="V1134">
        <f>IF(selection!H1131=1,selection!N1131,NA())</f>
        <v/>
      </c>
      <c r="W1134">
        <f>IF(selection!H1131=0,selection!M1131,NA())</f>
        <v/>
      </c>
      <c r="X1134">
        <f>IF(selection!H1131=0,selection!N1131,NA())</f>
        <v/>
      </c>
    </row>
    <row r="1135">
      <c r="U1135">
        <f>IF(selection!H1132=1,selection!M1132,NA())</f>
        <v/>
      </c>
      <c r="V1135">
        <f>IF(selection!H1132=1,selection!N1132,NA())</f>
        <v/>
      </c>
      <c r="W1135">
        <f>IF(selection!H1132=0,selection!M1132,NA())</f>
        <v/>
      </c>
      <c r="X1135">
        <f>IF(selection!H1132=0,selection!N1132,NA())</f>
        <v/>
      </c>
    </row>
    <row r="1136">
      <c r="U1136">
        <f>IF(selection!H1133=1,selection!M1133,NA())</f>
        <v/>
      </c>
      <c r="V1136">
        <f>IF(selection!H1133=1,selection!N1133,NA())</f>
        <v/>
      </c>
      <c r="W1136">
        <f>IF(selection!H1133=0,selection!M1133,NA())</f>
        <v/>
      </c>
      <c r="X1136">
        <f>IF(selection!H1133=0,selection!N1133,NA())</f>
        <v/>
      </c>
    </row>
    <row r="1137">
      <c r="U1137">
        <f>IF(selection!H1134=1,selection!M1134,NA())</f>
        <v/>
      </c>
      <c r="V1137">
        <f>IF(selection!H1134=1,selection!N1134,NA())</f>
        <v/>
      </c>
      <c r="W1137">
        <f>IF(selection!H1134=0,selection!M1134,NA())</f>
        <v/>
      </c>
      <c r="X1137">
        <f>IF(selection!H1134=0,selection!N1134,NA())</f>
        <v/>
      </c>
    </row>
    <row r="1138">
      <c r="U1138">
        <f>IF(selection!H1135=1,selection!M1135,NA())</f>
        <v/>
      </c>
      <c r="V1138">
        <f>IF(selection!H1135=1,selection!N1135,NA())</f>
        <v/>
      </c>
      <c r="W1138">
        <f>IF(selection!H1135=0,selection!M1135,NA())</f>
        <v/>
      </c>
      <c r="X1138">
        <f>IF(selection!H1135=0,selection!N1135,NA())</f>
        <v/>
      </c>
    </row>
    <row r="1139">
      <c r="U1139">
        <f>IF(selection!H1136=1,selection!M1136,NA())</f>
        <v/>
      </c>
      <c r="V1139">
        <f>IF(selection!H1136=1,selection!N1136,NA())</f>
        <v/>
      </c>
      <c r="W1139">
        <f>IF(selection!H1136=0,selection!M1136,NA())</f>
        <v/>
      </c>
      <c r="X1139">
        <f>IF(selection!H1136=0,selection!N1136,NA())</f>
        <v/>
      </c>
    </row>
    <row r="1140">
      <c r="U1140">
        <f>IF(selection!H1137=1,selection!M1137,NA())</f>
        <v/>
      </c>
      <c r="V1140">
        <f>IF(selection!H1137=1,selection!N1137,NA())</f>
        <v/>
      </c>
      <c r="W1140">
        <f>IF(selection!H1137=0,selection!M1137,NA())</f>
        <v/>
      </c>
      <c r="X1140">
        <f>IF(selection!H1137=0,selection!N1137,NA())</f>
        <v/>
      </c>
    </row>
    <row r="1141">
      <c r="U1141">
        <f>IF(selection!H1138=1,selection!M1138,NA())</f>
        <v/>
      </c>
      <c r="V1141">
        <f>IF(selection!H1138=1,selection!N1138,NA())</f>
        <v/>
      </c>
      <c r="W1141">
        <f>IF(selection!H1138=0,selection!M1138,NA())</f>
        <v/>
      </c>
      <c r="X1141">
        <f>IF(selection!H1138=0,selection!N1138,NA())</f>
        <v/>
      </c>
    </row>
    <row r="1142">
      <c r="U1142">
        <f>IF(selection!H1139=1,selection!M1139,NA())</f>
        <v/>
      </c>
      <c r="V1142">
        <f>IF(selection!H1139=1,selection!N1139,NA())</f>
        <v/>
      </c>
      <c r="W1142">
        <f>IF(selection!H1139=0,selection!M1139,NA())</f>
        <v/>
      </c>
      <c r="X1142">
        <f>IF(selection!H1139=0,selection!N1139,NA())</f>
        <v/>
      </c>
    </row>
    <row r="1143">
      <c r="U1143">
        <f>IF(selection!H1140=1,selection!M1140,NA())</f>
        <v/>
      </c>
      <c r="V1143">
        <f>IF(selection!H1140=1,selection!N1140,NA())</f>
        <v/>
      </c>
      <c r="W1143">
        <f>IF(selection!H1140=0,selection!M1140,NA())</f>
        <v/>
      </c>
      <c r="X1143">
        <f>IF(selection!H1140=0,selection!N1140,NA())</f>
        <v/>
      </c>
    </row>
    <row r="1144">
      <c r="U1144">
        <f>IF(selection!H1141=1,selection!M1141,NA())</f>
        <v/>
      </c>
      <c r="V1144">
        <f>IF(selection!H1141=1,selection!N1141,NA())</f>
        <v/>
      </c>
      <c r="W1144">
        <f>IF(selection!H1141=0,selection!M1141,NA())</f>
        <v/>
      </c>
      <c r="X1144">
        <f>IF(selection!H1141=0,selection!N1141,NA())</f>
        <v/>
      </c>
    </row>
    <row r="1145">
      <c r="U1145">
        <f>IF(selection!H1142=1,selection!M1142,NA())</f>
        <v/>
      </c>
      <c r="V1145">
        <f>IF(selection!H1142=1,selection!N1142,NA())</f>
        <v/>
      </c>
      <c r="W1145">
        <f>IF(selection!H1142=0,selection!M1142,NA())</f>
        <v/>
      </c>
      <c r="X1145">
        <f>IF(selection!H1142=0,selection!N1142,NA())</f>
        <v/>
      </c>
    </row>
    <row r="1146">
      <c r="U1146">
        <f>IF(selection!H1143=1,selection!M1143,NA())</f>
        <v/>
      </c>
      <c r="V1146">
        <f>IF(selection!H1143=1,selection!N1143,NA())</f>
        <v/>
      </c>
      <c r="W1146">
        <f>IF(selection!H1143=0,selection!M1143,NA())</f>
        <v/>
      </c>
      <c r="X1146">
        <f>IF(selection!H1143=0,selection!N1143,NA())</f>
        <v/>
      </c>
    </row>
    <row r="1147">
      <c r="U1147">
        <f>IF(selection!H1144=1,selection!M1144,NA())</f>
        <v/>
      </c>
      <c r="V1147">
        <f>IF(selection!H1144=1,selection!N1144,NA())</f>
        <v/>
      </c>
      <c r="W1147">
        <f>IF(selection!H1144=0,selection!M1144,NA())</f>
        <v/>
      </c>
      <c r="X1147">
        <f>IF(selection!H1144=0,selection!N1144,NA())</f>
        <v/>
      </c>
    </row>
    <row r="1148">
      <c r="U1148">
        <f>IF(selection!H1145=1,selection!M1145,NA())</f>
        <v/>
      </c>
      <c r="V1148">
        <f>IF(selection!H1145=1,selection!N1145,NA())</f>
        <v/>
      </c>
      <c r="W1148">
        <f>IF(selection!H1145=0,selection!M1145,NA())</f>
        <v/>
      </c>
      <c r="X1148">
        <f>IF(selection!H1145=0,selection!N1145,NA())</f>
        <v/>
      </c>
    </row>
    <row r="1149">
      <c r="U1149">
        <f>IF(selection!H1146=1,selection!M1146,NA())</f>
        <v/>
      </c>
      <c r="V1149">
        <f>IF(selection!H1146=1,selection!N1146,NA())</f>
        <v/>
      </c>
      <c r="W1149">
        <f>IF(selection!H1146=0,selection!M1146,NA())</f>
        <v/>
      </c>
      <c r="X1149">
        <f>IF(selection!H1146=0,selection!N1146,NA())</f>
        <v/>
      </c>
    </row>
    <row r="1150">
      <c r="U1150">
        <f>IF(selection!H1147=1,selection!M1147,NA())</f>
        <v/>
      </c>
      <c r="V1150">
        <f>IF(selection!H1147=1,selection!N1147,NA())</f>
        <v/>
      </c>
      <c r="W1150">
        <f>IF(selection!H1147=0,selection!M1147,NA())</f>
        <v/>
      </c>
      <c r="X1150">
        <f>IF(selection!H1147=0,selection!N1147,NA())</f>
        <v/>
      </c>
    </row>
    <row r="1151">
      <c r="U1151">
        <f>IF(selection!H1148=1,selection!M1148,NA())</f>
        <v/>
      </c>
      <c r="V1151">
        <f>IF(selection!H1148=1,selection!N1148,NA())</f>
        <v/>
      </c>
      <c r="W1151">
        <f>IF(selection!H1148=0,selection!M1148,NA())</f>
        <v/>
      </c>
      <c r="X1151">
        <f>IF(selection!H1148=0,selection!N1148,NA())</f>
        <v/>
      </c>
    </row>
    <row r="1152">
      <c r="U1152">
        <f>IF(selection!H1149=1,selection!M1149,NA())</f>
        <v/>
      </c>
      <c r="V1152">
        <f>IF(selection!H1149=1,selection!N1149,NA())</f>
        <v/>
      </c>
      <c r="W1152">
        <f>IF(selection!H1149=0,selection!M1149,NA())</f>
        <v/>
      </c>
      <c r="X1152">
        <f>IF(selection!H1149=0,selection!N1149,NA())</f>
        <v/>
      </c>
    </row>
    <row r="1153">
      <c r="U1153">
        <f>IF(selection!H1150=1,selection!M1150,NA())</f>
        <v/>
      </c>
      <c r="V1153">
        <f>IF(selection!H1150=1,selection!N1150,NA())</f>
        <v/>
      </c>
      <c r="W1153">
        <f>IF(selection!H1150=0,selection!M1150,NA())</f>
        <v/>
      </c>
      <c r="X1153">
        <f>IF(selection!H1150=0,selection!N1150,NA())</f>
        <v/>
      </c>
    </row>
    <row r="1154">
      <c r="U1154">
        <f>IF(selection!H1151=1,selection!M1151,NA())</f>
        <v/>
      </c>
      <c r="V1154">
        <f>IF(selection!H1151=1,selection!N1151,NA())</f>
        <v/>
      </c>
      <c r="W1154">
        <f>IF(selection!H1151=0,selection!M1151,NA())</f>
        <v/>
      </c>
      <c r="X1154">
        <f>IF(selection!H1151=0,selection!N1151,NA())</f>
        <v/>
      </c>
    </row>
    <row r="1155">
      <c r="U1155">
        <f>IF(selection!H1152=1,selection!M1152,NA())</f>
        <v/>
      </c>
      <c r="V1155">
        <f>IF(selection!H1152=1,selection!N1152,NA())</f>
        <v/>
      </c>
      <c r="W1155">
        <f>IF(selection!H1152=0,selection!M1152,NA())</f>
        <v/>
      </c>
      <c r="X1155">
        <f>IF(selection!H1152=0,selection!N1152,NA())</f>
        <v/>
      </c>
    </row>
    <row r="1156">
      <c r="U1156">
        <f>IF(selection!H1153=1,selection!M1153,NA())</f>
        <v/>
      </c>
      <c r="V1156">
        <f>IF(selection!H1153=1,selection!N1153,NA())</f>
        <v/>
      </c>
      <c r="W1156">
        <f>IF(selection!H1153=0,selection!M1153,NA())</f>
        <v/>
      </c>
      <c r="X1156">
        <f>IF(selection!H1153=0,selection!N1153,NA())</f>
        <v/>
      </c>
    </row>
    <row r="1157">
      <c r="U1157">
        <f>IF(selection!H1154=1,selection!M1154,NA())</f>
        <v/>
      </c>
      <c r="V1157">
        <f>IF(selection!H1154=1,selection!N1154,NA())</f>
        <v/>
      </c>
      <c r="W1157">
        <f>IF(selection!H1154=0,selection!M1154,NA())</f>
        <v/>
      </c>
      <c r="X1157">
        <f>IF(selection!H1154=0,selection!N1154,NA())</f>
        <v/>
      </c>
    </row>
    <row r="1158">
      <c r="U1158">
        <f>IF(selection!H1155=1,selection!M1155,NA())</f>
        <v/>
      </c>
      <c r="V1158">
        <f>IF(selection!H1155=1,selection!N1155,NA())</f>
        <v/>
      </c>
      <c r="W1158">
        <f>IF(selection!H1155=0,selection!M1155,NA())</f>
        <v/>
      </c>
      <c r="X1158">
        <f>IF(selection!H1155=0,selection!N1155,NA())</f>
        <v/>
      </c>
    </row>
    <row r="1159">
      <c r="U1159">
        <f>IF(selection!H1156=1,selection!M1156,NA())</f>
        <v/>
      </c>
      <c r="V1159">
        <f>IF(selection!H1156=1,selection!N1156,NA())</f>
        <v/>
      </c>
      <c r="W1159">
        <f>IF(selection!H1156=0,selection!M1156,NA())</f>
        <v/>
      </c>
      <c r="X1159">
        <f>IF(selection!H1156=0,selection!N1156,NA())</f>
        <v/>
      </c>
    </row>
    <row r="1160">
      <c r="U1160">
        <f>IF(selection!H1157=1,selection!M1157,NA())</f>
        <v/>
      </c>
      <c r="V1160">
        <f>IF(selection!H1157=1,selection!N1157,NA())</f>
        <v/>
      </c>
      <c r="W1160">
        <f>IF(selection!H1157=0,selection!M1157,NA())</f>
        <v/>
      </c>
      <c r="X1160">
        <f>IF(selection!H1157=0,selection!N1157,NA())</f>
        <v/>
      </c>
    </row>
    <row r="1161">
      <c r="U1161">
        <f>IF(selection!H1158=1,selection!M1158,NA())</f>
        <v/>
      </c>
      <c r="V1161">
        <f>IF(selection!H1158=1,selection!N1158,NA())</f>
        <v/>
      </c>
      <c r="W1161">
        <f>IF(selection!H1158=0,selection!M1158,NA())</f>
        <v/>
      </c>
      <c r="X1161">
        <f>IF(selection!H1158=0,selection!N1158,NA())</f>
        <v/>
      </c>
    </row>
    <row r="1162">
      <c r="U1162">
        <f>IF(selection!H1159=1,selection!M1159,NA())</f>
        <v/>
      </c>
      <c r="V1162">
        <f>IF(selection!H1159=1,selection!N1159,NA())</f>
        <v/>
      </c>
      <c r="W1162">
        <f>IF(selection!H1159=0,selection!M1159,NA())</f>
        <v/>
      </c>
      <c r="X1162">
        <f>IF(selection!H1159=0,selection!N1159,NA())</f>
        <v/>
      </c>
    </row>
    <row r="1163">
      <c r="U1163">
        <f>IF(selection!H1160=1,selection!M1160,NA())</f>
        <v/>
      </c>
      <c r="V1163">
        <f>IF(selection!H1160=1,selection!N1160,NA())</f>
        <v/>
      </c>
      <c r="W1163">
        <f>IF(selection!H1160=0,selection!M1160,NA())</f>
        <v/>
      </c>
      <c r="X1163">
        <f>IF(selection!H1160=0,selection!N1160,NA())</f>
        <v/>
      </c>
    </row>
    <row r="1164">
      <c r="U1164">
        <f>IF(selection!H1161=1,selection!M1161,NA())</f>
        <v/>
      </c>
      <c r="V1164">
        <f>IF(selection!H1161=1,selection!N1161,NA())</f>
        <v/>
      </c>
      <c r="W1164">
        <f>IF(selection!H1161=0,selection!M1161,NA())</f>
        <v/>
      </c>
      <c r="X1164">
        <f>IF(selection!H1161=0,selection!N1161,NA())</f>
        <v/>
      </c>
    </row>
    <row r="1165">
      <c r="U1165">
        <f>IF(selection!H1162=1,selection!M1162,NA())</f>
        <v/>
      </c>
      <c r="V1165">
        <f>IF(selection!H1162=1,selection!N1162,NA())</f>
        <v/>
      </c>
      <c r="W1165">
        <f>IF(selection!H1162=0,selection!M1162,NA())</f>
        <v/>
      </c>
      <c r="X1165">
        <f>IF(selection!H1162=0,selection!N1162,NA())</f>
        <v/>
      </c>
    </row>
    <row r="1166">
      <c r="U1166">
        <f>IF(selection!H1163=1,selection!M1163,NA())</f>
        <v/>
      </c>
      <c r="V1166">
        <f>IF(selection!H1163=1,selection!N1163,NA())</f>
        <v/>
      </c>
      <c r="W1166">
        <f>IF(selection!H1163=0,selection!M1163,NA())</f>
        <v/>
      </c>
      <c r="X1166">
        <f>IF(selection!H1163=0,selection!N1163,NA())</f>
        <v/>
      </c>
    </row>
    <row r="1167">
      <c r="U1167">
        <f>IF(selection!H1164=1,selection!M1164,NA())</f>
        <v/>
      </c>
      <c r="V1167">
        <f>IF(selection!H1164=1,selection!N1164,NA())</f>
        <v/>
      </c>
      <c r="W1167">
        <f>IF(selection!H1164=0,selection!M1164,NA())</f>
        <v/>
      </c>
      <c r="X1167">
        <f>IF(selection!H1164=0,selection!N1164,NA())</f>
        <v/>
      </c>
    </row>
    <row r="1168">
      <c r="U1168">
        <f>IF(selection!H1165=1,selection!M1165,NA())</f>
        <v/>
      </c>
      <c r="V1168">
        <f>IF(selection!H1165=1,selection!N1165,NA())</f>
        <v/>
      </c>
      <c r="W1168">
        <f>IF(selection!H1165=0,selection!M1165,NA())</f>
        <v/>
      </c>
      <c r="X1168">
        <f>IF(selection!H1165=0,selection!N1165,NA())</f>
        <v/>
      </c>
    </row>
    <row r="1169">
      <c r="U1169">
        <f>IF(selection!H1166=1,selection!M1166,NA())</f>
        <v/>
      </c>
      <c r="V1169">
        <f>IF(selection!H1166=1,selection!N1166,NA())</f>
        <v/>
      </c>
      <c r="W1169">
        <f>IF(selection!H1166=0,selection!M1166,NA())</f>
        <v/>
      </c>
      <c r="X1169">
        <f>IF(selection!H1166=0,selection!N1166,NA())</f>
        <v/>
      </c>
    </row>
    <row r="1170">
      <c r="U1170">
        <f>IF(selection!H1167=1,selection!M1167,NA())</f>
        <v/>
      </c>
      <c r="V1170">
        <f>IF(selection!H1167=1,selection!N1167,NA())</f>
        <v/>
      </c>
      <c r="W1170">
        <f>IF(selection!H1167=0,selection!M1167,NA())</f>
        <v/>
      </c>
      <c r="X1170">
        <f>IF(selection!H1167=0,selection!N1167,NA())</f>
        <v/>
      </c>
    </row>
    <row r="1171">
      <c r="U1171">
        <f>IF(selection!H1168=1,selection!M1168,NA())</f>
        <v/>
      </c>
      <c r="V1171">
        <f>IF(selection!H1168=1,selection!N1168,NA())</f>
        <v/>
      </c>
      <c r="W1171">
        <f>IF(selection!H1168=0,selection!M1168,NA())</f>
        <v/>
      </c>
      <c r="X1171">
        <f>IF(selection!H1168=0,selection!N1168,NA())</f>
        <v/>
      </c>
    </row>
    <row r="1172">
      <c r="U1172">
        <f>IF(selection!H1169=1,selection!M1169,NA())</f>
        <v/>
      </c>
      <c r="V1172">
        <f>IF(selection!H1169=1,selection!N1169,NA())</f>
        <v/>
      </c>
      <c r="W1172">
        <f>IF(selection!H1169=0,selection!M1169,NA())</f>
        <v/>
      </c>
      <c r="X1172">
        <f>IF(selection!H1169=0,selection!N1169,NA())</f>
        <v/>
      </c>
    </row>
    <row r="1173">
      <c r="U1173">
        <f>IF(selection!H1170=1,selection!M1170,NA())</f>
        <v/>
      </c>
      <c r="V1173">
        <f>IF(selection!H1170=1,selection!N1170,NA())</f>
        <v/>
      </c>
      <c r="W1173">
        <f>IF(selection!H1170=0,selection!M1170,NA())</f>
        <v/>
      </c>
      <c r="X1173">
        <f>IF(selection!H1170=0,selection!N1170,NA())</f>
        <v/>
      </c>
    </row>
    <row r="1174">
      <c r="U1174">
        <f>IF(selection!H1171=1,selection!M1171,NA())</f>
        <v/>
      </c>
      <c r="V1174">
        <f>IF(selection!H1171=1,selection!N1171,NA())</f>
        <v/>
      </c>
      <c r="W1174">
        <f>IF(selection!H1171=0,selection!M1171,NA())</f>
        <v/>
      </c>
      <c r="X1174">
        <f>IF(selection!H1171=0,selection!N1171,NA())</f>
        <v/>
      </c>
    </row>
    <row r="1175">
      <c r="U1175">
        <f>IF(selection!H1172=1,selection!M1172,NA())</f>
        <v/>
      </c>
      <c r="V1175">
        <f>IF(selection!H1172=1,selection!N1172,NA())</f>
        <v/>
      </c>
      <c r="W1175">
        <f>IF(selection!H1172=0,selection!M1172,NA())</f>
        <v/>
      </c>
      <c r="X1175">
        <f>IF(selection!H1172=0,selection!N1172,NA())</f>
        <v/>
      </c>
    </row>
    <row r="1176">
      <c r="U1176">
        <f>IF(selection!H1173=1,selection!M1173,NA())</f>
        <v/>
      </c>
      <c r="V1176">
        <f>IF(selection!H1173=1,selection!N1173,NA())</f>
        <v/>
      </c>
      <c r="W1176">
        <f>IF(selection!H1173=0,selection!M1173,NA())</f>
        <v/>
      </c>
      <c r="X1176">
        <f>IF(selection!H1173=0,selection!N1173,NA())</f>
        <v/>
      </c>
    </row>
    <row r="1177">
      <c r="U1177">
        <f>IF(selection!H1174=1,selection!M1174,NA())</f>
        <v/>
      </c>
      <c r="V1177">
        <f>IF(selection!H1174=1,selection!N1174,NA())</f>
        <v/>
      </c>
      <c r="W1177">
        <f>IF(selection!H1174=0,selection!M1174,NA())</f>
        <v/>
      </c>
      <c r="X1177">
        <f>IF(selection!H1174=0,selection!N1174,NA())</f>
        <v/>
      </c>
    </row>
    <row r="1178">
      <c r="U1178">
        <f>IF(selection!H1175=1,selection!M1175,NA())</f>
        <v/>
      </c>
      <c r="V1178">
        <f>IF(selection!H1175=1,selection!N1175,NA())</f>
        <v/>
      </c>
      <c r="W1178">
        <f>IF(selection!H1175=0,selection!M1175,NA())</f>
        <v/>
      </c>
      <c r="X1178">
        <f>IF(selection!H1175=0,selection!N1175,NA())</f>
        <v/>
      </c>
    </row>
    <row r="1179">
      <c r="U1179">
        <f>IF(selection!H1176=1,selection!M1176,NA())</f>
        <v/>
      </c>
      <c r="V1179">
        <f>IF(selection!H1176=1,selection!N1176,NA())</f>
        <v/>
      </c>
      <c r="W1179">
        <f>IF(selection!H1176=0,selection!M1176,NA())</f>
        <v/>
      </c>
      <c r="X1179">
        <f>IF(selection!H1176=0,selection!N1176,NA())</f>
        <v/>
      </c>
    </row>
    <row r="1180">
      <c r="U1180">
        <f>IF(selection!H1177=1,selection!M1177,NA())</f>
        <v/>
      </c>
      <c r="V1180">
        <f>IF(selection!H1177=1,selection!N1177,NA())</f>
        <v/>
      </c>
      <c r="W1180">
        <f>IF(selection!H1177=0,selection!M1177,NA())</f>
        <v/>
      </c>
      <c r="X1180">
        <f>IF(selection!H1177=0,selection!N1177,NA())</f>
        <v/>
      </c>
    </row>
    <row r="1181">
      <c r="U1181">
        <f>IF(selection!H1178=1,selection!M1178,NA())</f>
        <v/>
      </c>
      <c r="V1181">
        <f>IF(selection!H1178=1,selection!N1178,NA())</f>
        <v/>
      </c>
      <c r="W1181">
        <f>IF(selection!H1178=0,selection!M1178,NA())</f>
        <v/>
      </c>
      <c r="X1181">
        <f>IF(selection!H1178=0,selection!N1178,NA())</f>
        <v/>
      </c>
    </row>
    <row r="1182">
      <c r="U1182">
        <f>IF(selection!H1179=1,selection!M1179,NA())</f>
        <v/>
      </c>
      <c r="V1182">
        <f>IF(selection!H1179=1,selection!N1179,NA())</f>
        <v/>
      </c>
      <c r="W1182">
        <f>IF(selection!H1179=0,selection!M1179,NA())</f>
        <v/>
      </c>
      <c r="X1182">
        <f>IF(selection!H1179=0,selection!N1179,NA())</f>
        <v/>
      </c>
    </row>
    <row r="1183">
      <c r="U1183">
        <f>IF(selection!H1180=1,selection!M1180,NA())</f>
        <v/>
      </c>
      <c r="V1183">
        <f>IF(selection!H1180=1,selection!N1180,NA())</f>
        <v/>
      </c>
      <c r="W1183">
        <f>IF(selection!H1180=0,selection!M1180,NA())</f>
        <v/>
      </c>
      <c r="X1183">
        <f>IF(selection!H1180=0,selection!N1180,NA())</f>
        <v/>
      </c>
    </row>
    <row r="1184">
      <c r="U1184">
        <f>IF(selection!H1181=1,selection!M1181,NA())</f>
        <v/>
      </c>
      <c r="V1184">
        <f>IF(selection!H1181=1,selection!N1181,NA())</f>
        <v/>
      </c>
      <c r="W1184">
        <f>IF(selection!H1181=0,selection!M1181,NA())</f>
        <v/>
      </c>
      <c r="X1184">
        <f>IF(selection!H1181=0,selection!N1181,NA())</f>
        <v/>
      </c>
    </row>
    <row r="1185">
      <c r="U1185">
        <f>IF(selection!H1182=1,selection!M1182,NA())</f>
        <v/>
      </c>
      <c r="V1185">
        <f>IF(selection!H1182=1,selection!N1182,NA())</f>
        <v/>
      </c>
      <c r="W1185">
        <f>IF(selection!H1182=0,selection!M1182,NA())</f>
        <v/>
      </c>
      <c r="X1185">
        <f>IF(selection!H1182=0,selection!N1182,NA())</f>
        <v/>
      </c>
    </row>
    <row r="1186">
      <c r="U1186">
        <f>IF(selection!H1183=1,selection!M1183,NA())</f>
        <v/>
      </c>
      <c r="V1186">
        <f>IF(selection!H1183=1,selection!N1183,NA())</f>
        <v/>
      </c>
      <c r="W1186">
        <f>IF(selection!H1183=0,selection!M1183,NA())</f>
        <v/>
      </c>
      <c r="X1186">
        <f>IF(selection!H1183=0,selection!N1183,NA())</f>
        <v/>
      </c>
    </row>
    <row r="1187">
      <c r="U1187">
        <f>IF(selection!H1184=1,selection!M1184,NA())</f>
        <v/>
      </c>
      <c r="V1187">
        <f>IF(selection!H1184=1,selection!N1184,NA())</f>
        <v/>
      </c>
      <c r="W1187">
        <f>IF(selection!H1184=0,selection!M1184,NA())</f>
        <v/>
      </c>
      <c r="X1187">
        <f>IF(selection!H1184=0,selection!N1184,NA())</f>
        <v/>
      </c>
    </row>
    <row r="1188">
      <c r="U1188">
        <f>IF(selection!H1185=1,selection!M1185,NA())</f>
        <v/>
      </c>
      <c r="V1188">
        <f>IF(selection!H1185=1,selection!N1185,NA())</f>
        <v/>
      </c>
      <c r="W1188">
        <f>IF(selection!H1185=0,selection!M1185,NA())</f>
        <v/>
      </c>
      <c r="X1188">
        <f>IF(selection!H1185=0,selection!N1185,NA())</f>
        <v/>
      </c>
    </row>
    <row r="1189">
      <c r="U1189">
        <f>IF(selection!H1186=1,selection!M1186,NA())</f>
        <v/>
      </c>
      <c r="V1189">
        <f>IF(selection!H1186=1,selection!N1186,NA())</f>
        <v/>
      </c>
      <c r="W1189">
        <f>IF(selection!H1186=0,selection!M1186,NA())</f>
        <v/>
      </c>
      <c r="X1189">
        <f>IF(selection!H1186=0,selection!N1186,NA())</f>
        <v/>
      </c>
    </row>
    <row r="1190">
      <c r="U1190">
        <f>IF(selection!H1187=1,selection!M1187,NA())</f>
        <v/>
      </c>
      <c r="V1190">
        <f>IF(selection!H1187=1,selection!N1187,NA())</f>
        <v/>
      </c>
      <c r="W1190">
        <f>IF(selection!H1187=0,selection!M1187,NA())</f>
        <v/>
      </c>
      <c r="X1190">
        <f>IF(selection!H1187=0,selection!N1187,NA())</f>
        <v/>
      </c>
    </row>
    <row r="1191">
      <c r="U1191">
        <f>IF(selection!H1188=1,selection!M1188,NA())</f>
        <v/>
      </c>
      <c r="V1191">
        <f>IF(selection!H1188=1,selection!N1188,NA())</f>
        <v/>
      </c>
      <c r="W1191">
        <f>IF(selection!H1188=0,selection!M1188,NA())</f>
        <v/>
      </c>
      <c r="X1191">
        <f>IF(selection!H1188=0,selection!N1188,NA())</f>
        <v/>
      </c>
    </row>
    <row r="1192">
      <c r="U1192">
        <f>IF(selection!H1189=1,selection!M1189,NA())</f>
        <v/>
      </c>
      <c r="V1192">
        <f>IF(selection!H1189=1,selection!N1189,NA())</f>
        <v/>
      </c>
      <c r="W1192">
        <f>IF(selection!H1189=0,selection!M1189,NA())</f>
        <v/>
      </c>
      <c r="X1192">
        <f>IF(selection!H1189=0,selection!N1189,NA())</f>
        <v/>
      </c>
    </row>
    <row r="1193">
      <c r="U1193">
        <f>IF(selection!H1190=1,selection!M1190,NA())</f>
        <v/>
      </c>
      <c r="V1193">
        <f>IF(selection!H1190=1,selection!N1190,NA())</f>
        <v/>
      </c>
      <c r="W1193">
        <f>IF(selection!H1190=0,selection!M1190,NA())</f>
        <v/>
      </c>
      <c r="X1193">
        <f>IF(selection!H1190=0,selection!N1190,NA())</f>
        <v/>
      </c>
    </row>
    <row r="1194">
      <c r="U1194">
        <f>IF(selection!H1191=1,selection!M1191,NA())</f>
        <v/>
      </c>
      <c r="V1194">
        <f>IF(selection!H1191=1,selection!N1191,NA())</f>
        <v/>
      </c>
      <c r="W1194">
        <f>IF(selection!H1191=0,selection!M1191,NA())</f>
        <v/>
      </c>
      <c r="X1194">
        <f>IF(selection!H1191=0,selection!N1191,NA())</f>
        <v/>
      </c>
    </row>
    <row r="1195">
      <c r="U1195">
        <f>IF(selection!H1192=1,selection!M1192,NA())</f>
        <v/>
      </c>
      <c r="V1195">
        <f>IF(selection!H1192=1,selection!N1192,NA())</f>
        <v/>
      </c>
      <c r="W1195">
        <f>IF(selection!H1192=0,selection!M1192,NA())</f>
        <v/>
      </c>
      <c r="X1195">
        <f>IF(selection!H1192=0,selection!N1192,NA())</f>
        <v/>
      </c>
    </row>
    <row r="1196">
      <c r="U1196">
        <f>IF(selection!H1193=1,selection!M1193,NA())</f>
        <v/>
      </c>
      <c r="V1196">
        <f>IF(selection!H1193=1,selection!N1193,NA())</f>
        <v/>
      </c>
      <c r="W1196">
        <f>IF(selection!H1193=0,selection!M1193,NA())</f>
        <v/>
      </c>
      <c r="X1196">
        <f>IF(selection!H1193=0,selection!N1193,NA())</f>
        <v/>
      </c>
    </row>
    <row r="1197">
      <c r="U1197">
        <f>IF(selection!H1194=1,selection!M1194,NA())</f>
        <v/>
      </c>
      <c r="V1197">
        <f>IF(selection!H1194=1,selection!N1194,NA())</f>
        <v/>
      </c>
      <c r="W1197">
        <f>IF(selection!H1194=0,selection!M1194,NA())</f>
        <v/>
      </c>
      <c r="X1197">
        <f>IF(selection!H1194=0,selection!N1194,NA())</f>
        <v/>
      </c>
    </row>
    <row r="1198">
      <c r="U1198">
        <f>IF(selection!H1195=1,selection!M1195,NA())</f>
        <v/>
      </c>
      <c r="V1198">
        <f>IF(selection!H1195=1,selection!N1195,NA())</f>
        <v/>
      </c>
      <c r="W1198">
        <f>IF(selection!H1195=0,selection!M1195,NA())</f>
        <v/>
      </c>
      <c r="X1198">
        <f>IF(selection!H1195=0,selection!N1195,NA())</f>
        <v/>
      </c>
    </row>
    <row r="1199">
      <c r="U1199">
        <f>IF(selection!H1196=1,selection!M1196,NA())</f>
        <v/>
      </c>
      <c r="V1199">
        <f>IF(selection!H1196=1,selection!N1196,NA())</f>
        <v/>
      </c>
      <c r="W1199">
        <f>IF(selection!H1196=0,selection!M1196,NA())</f>
        <v/>
      </c>
      <c r="X1199">
        <f>IF(selection!H1196=0,selection!N1196,NA())</f>
        <v/>
      </c>
    </row>
    <row r="1200">
      <c r="U1200">
        <f>IF(selection!H1197=1,selection!M1197,NA())</f>
        <v/>
      </c>
      <c r="V1200">
        <f>IF(selection!H1197=1,selection!N1197,NA())</f>
        <v/>
      </c>
      <c r="W1200">
        <f>IF(selection!H1197=0,selection!M1197,NA())</f>
        <v/>
      </c>
      <c r="X1200">
        <f>IF(selection!H1197=0,selection!N1197,NA())</f>
        <v/>
      </c>
    </row>
    <row r="1201">
      <c r="U1201">
        <f>IF(selection!H1198=1,selection!M1198,NA())</f>
        <v/>
      </c>
      <c r="V1201">
        <f>IF(selection!H1198=1,selection!N1198,NA())</f>
        <v/>
      </c>
      <c r="W1201">
        <f>IF(selection!H1198=0,selection!M1198,NA())</f>
        <v/>
      </c>
      <c r="X1201">
        <f>IF(selection!H1198=0,selection!N1198,NA())</f>
        <v/>
      </c>
    </row>
    <row r="1202">
      <c r="U1202">
        <f>IF(selection!H1199=1,selection!M1199,NA())</f>
        <v/>
      </c>
      <c r="V1202">
        <f>IF(selection!H1199=1,selection!N1199,NA())</f>
        <v/>
      </c>
      <c r="W1202">
        <f>IF(selection!H1199=0,selection!M1199,NA())</f>
        <v/>
      </c>
      <c r="X1202">
        <f>IF(selection!H1199=0,selection!N1199,NA())</f>
        <v/>
      </c>
    </row>
    <row r="1203">
      <c r="U1203">
        <f>IF(selection!H1200=1,selection!M1200,NA())</f>
        <v/>
      </c>
      <c r="V1203">
        <f>IF(selection!H1200=1,selection!N1200,NA())</f>
        <v/>
      </c>
      <c r="W1203">
        <f>IF(selection!H1200=0,selection!M1200,NA())</f>
        <v/>
      </c>
      <c r="X1203">
        <f>IF(selection!H1200=0,selection!N1200,NA())</f>
        <v/>
      </c>
    </row>
    <row r="1204">
      <c r="U1204">
        <f>IF(selection!H1201=1,selection!M1201,NA())</f>
        <v/>
      </c>
      <c r="V1204">
        <f>IF(selection!H1201=1,selection!N1201,NA())</f>
        <v/>
      </c>
      <c r="W1204">
        <f>IF(selection!H1201=0,selection!M1201,NA())</f>
        <v/>
      </c>
      <c r="X1204">
        <f>IF(selection!H1201=0,selection!N1201,NA())</f>
        <v/>
      </c>
    </row>
    <row r="1205">
      <c r="U1205">
        <f>IF(selection!H1202=1,selection!M1202,NA())</f>
        <v/>
      </c>
      <c r="V1205">
        <f>IF(selection!H1202=1,selection!N1202,NA())</f>
        <v/>
      </c>
      <c r="W1205">
        <f>IF(selection!H1202=0,selection!M1202,NA())</f>
        <v/>
      </c>
      <c r="X1205">
        <f>IF(selection!H1202=0,selection!N1202,NA())</f>
        <v/>
      </c>
    </row>
    <row r="1206">
      <c r="U1206">
        <f>IF(selection!H1203=1,selection!M1203,NA())</f>
        <v/>
      </c>
      <c r="V1206">
        <f>IF(selection!H1203=1,selection!N1203,NA())</f>
        <v/>
      </c>
      <c r="W1206">
        <f>IF(selection!H1203=0,selection!M1203,NA())</f>
        <v/>
      </c>
      <c r="X1206">
        <f>IF(selection!H1203=0,selection!N1203,NA())</f>
        <v/>
      </c>
    </row>
    <row r="1207">
      <c r="U1207">
        <f>IF(selection!H1204=1,selection!M1204,NA())</f>
        <v/>
      </c>
      <c r="V1207">
        <f>IF(selection!H1204=1,selection!N1204,NA())</f>
        <v/>
      </c>
      <c r="W1207">
        <f>IF(selection!H1204=0,selection!M1204,NA())</f>
        <v/>
      </c>
      <c r="X1207">
        <f>IF(selection!H1204=0,selection!N1204,NA())</f>
        <v/>
      </c>
    </row>
    <row r="1208">
      <c r="U1208">
        <f>IF(selection!H1205=1,selection!M1205,NA())</f>
        <v/>
      </c>
      <c r="V1208">
        <f>IF(selection!H1205=1,selection!N1205,NA())</f>
        <v/>
      </c>
      <c r="W1208">
        <f>IF(selection!H1205=0,selection!M1205,NA())</f>
        <v/>
      </c>
      <c r="X1208">
        <f>IF(selection!H1205=0,selection!N1205,NA())</f>
        <v/>
      </c>
    </row>
    <row r="1209">
      <c r="U1209">
        <f>IF(selection!H1206=1,selection!M1206,NA())</f>
        <v/>
      </c>
      <c r="V1209">
        <f>IF(selection!H1206=1,selection!N1206,NA())</f>
        <v/>
      </c>
      <c r="W1209">
        <f>IF(selection!H1206=0,selection!M1206,NA())</f>
        <v/>
      </c>
      <c r="X1209">
        <f>IF(selection!H1206=0,selection!N1206,NA())</f>
        <v/>
      </c>
    </row>
    <row r="1210">
      <c r="U1210">
        <f>IF(selection!H1207=1,selection!M1207,NA())</f>
        <v/>
      </c>
      <c r="V1210">
        <f>IF(selection!H1207=1,selection!N1207,NA())</f>
        <v/>
      </c>
      <c r="W1210">
        <f>IF(selection!H1207=0,selection!M1207,NA())</f>
        <v/>
      </c>
      <c r="X1210">
        <f>IF(selection!H1207=0,selection!N1207,NA())</f>
        <v/>
      </c>
    </row>
    <row r="1211">
      <c r="U1211">
        <f>IF(selection!H1208=1,selection!M1208,NA())</f>
        <v/>
      </c>
      <c r="V1211">
        <f>IF(selection!H1208=1,selection!N1208,NA())</f>
        <v/>
      </c>
      <c r="W1211">
        <f>IF(selection!H1208=0,selection!M1208,NA())</f>
        <v/>
      </c>
      <c r="X1211">
        <f>IF(selection!H1208=0,selection!N1208,NA())</f>
        <v/>
      </c>
    </row>
    <row r="1212">
      <c r="U1212">
        <f>IF(selection!H1209=1,selection!M1209,NA())</f>
        <v/>
      </c>
      <c r="V1212">
        <f>IF(selection!H1209=1,selection!N1209,NA())</f>
        <v/>
      </c>
      <c r="W1212">
        <f>IF(selection!H1209=0,selection!M1209,NA())</f>
        <v/>
      </c>
      <c r="X1212">
        <f>IF(selection!H1209=0,selection!N1209,NA())</f>
        <v/>
      </c>
    </row>
    <row r="1213">
      <c r="U1213">
        <f>IF(selection!H1210=1,selection!M1210,NA())</f>
        <v/>
      </c>
      <c r="V1213">
        <f>IF(selection!H1210=1,selection!N1210,NA())</f>
        <v/>
      </c>
      <c r="W1213">
        <f>IF(selection!H1210=0,selection!M1210,NA())</f>
        <v/>
      </c>
      <c r="X1213">
        <f>IF(selection!H1210=0,selection!N1210,NA())</f>
        <v/>
      </c>
    </row>
    <row r="1214">
      <c r="U1214">
        <f>IF(selection!H1211=1,selection!M1211,NA())</f>
        <v/>
      </c>
      <c r="V1214">
        <f>IF(selection!H1211=1,selection!N1211,NA())</f>
        <v/>
      </c>
      <c r="W1214">
        <f>IF(selection!H1211=0,selection!M1211,NA())</f>
        <v/>
      </c>
      <c r="X1214">
        <f>IF(selection!H1211=0,selection!N1211,NA())</f>
        <v/>
      </c>
    </row>
    <row r="1215">
      <c r="U1215">
        <f>IF(selection!H1212=1,selection!M1212,NA())</f>
        <v/>
      </c>
      <c r="V1215">
        <f>IF(selection!H1212=1,selection!N1212,NA())</f>
        <v/>
      </c>
      <c r="W1215">
        <f>IF(selection!H1212=0,selection!M1212,NA())</f>
        <v/>
      </c>
      <c r="X1215">
        <f>IF(selection!H1212=0,selection!N1212,NA())</f>
        <v/>
      </c>
    </row>
    <row r="1216">
      <c r="U1216">
        <f>IF(selection!H1213=1,selection!M1213,NA())</f>
        <v/>
      </c>
      <c r="V1216">
        <f>IF(selection!H1213=1,selection!N1213,NA())</f>
        <v/>
      </c>
      <c r="W1216">
        <f>IF(selection!H1213=0,selection!M1213,NA())</f>
        <v/>
      </c>
      <c r="X1216">
        <f>IF(selection!H1213=0,selection!N1213,NA())</f>
        <v/>
      </c>
    </row>
    <row r="1217">
      <c r="U1217">
        <f>IF(selection!H1214=1,selection!M1214,NA())</f>
        <v/>
      </c>
      <c r="V1217">
        <f>IF(selection!H1214=1,selection!N1214,NA())</f>
        <v/>
      </c>
      <c r="W1217">
        <f>IF(selection!H1214=0,selection!M1214,NA())</f>
        <v/>
      </c>
      <c r="X1217">
        <f>IF(selection!H1214=0,selection!N1214,NA())</f>
        <v/>
      </c>
    </row>
    <row r="1218">
      <c r="U1218">
        <f>IF(selection!H1215=1,selection!M1215,NA())</f>
        <v/>
      </c>
      <c r="V1218">
        <f>IF(selection!H1215=1,selection!N1215,NA())</f>
        <v/>
      </c>
      <c r="W1218">
        <f>IF(selection!H1215=0,selection!M1215,NA())</f>
        <v/>
      </c>
      <c r="X1218">
        <f>IF(selection!H1215=0,selection!N1215,NA())</f>
        <v/>
      </c>
    </row>
    <row r="1219">
      <c r="U1219">
        <f>IF(selection!H1216=1,selection!M1216,NA())</f>
        <v/>
      </c>
      <c r="V1219">
        <f>IF(selection!H1216=1,selection!N1216,NA())</f>
        <v/>
      </c>
      <c r="W1219">
        <f>IF(selection!H1216=0,selection!M1216,NA())</f>
        <v/>
      </c>
      <c r="X1219">
        <f>IF(selection!H1216=0,selection!N1216,NA())</f>
        <v/>
      </c>
    </row>
    <row r="1220">
      <c r="U1220">
        <f>IF(selection!H1217=1,selection!M1217,NA())</f>
        <v/>
      </c>
      <c r="V1220">
        <f>IF(selection!H1217=1,selection!N1217,NA())</f>
        <v/>
      </c>
      <c r="W1220">
        <f>IF(selection!H1217=0,selection!M1217,NA())</f>
        <v/>
      </c>
      <c r="X1220">
        <f>IF(selection!H1217=0,selection!N1217,NA())</f>
        <v/>
      </c>
    </row>
    <row r="1221">
      <c r="U1221">
        <f>IF(selection!H1218=1,selection!M1218,NA())</f>
        <v/>
      </c>
      <c r="V1221">
        <f>IF(selection!H1218=1,selection!N1218,NA())</f>
        <v/>
      </c>
      <c r="W1221">
        <f>IF(selection!H1218=0,selection!M1218,NA())</f>
        <v/>
      </c>
      <c r="X1221">
        <f>IF(selection!H1218=0,selection!N1218,NA())</f>
        <v/>
      </c>
    </row>
    <row r="1222">
      <c r="U1222">
        <f>IF(selection!H1219=1,selection!M1219,NA())</f>
        <v/>
      </c>
      <c r="V1222">
        <f>IF(selection!H1219=1,selection!N1219,NA())</f>
        <v/>
      </c>
      <c r="W1222">
        <f>IF(selection!H1219=0,selection!M1219,NA())</f>
        <v/>
      </c>
      <c r="X1222">
        <f>IF(selection!H1219=0,selection!N1219,NA())</f>
        <v/>
      </c>
    </row>
    <row r="1223">
      <c r="U1223">
        <f>IF(selection!H1220=1,selection!M1220,NA())</f>
        <v/>
      </c>
      <c r="V1223">
        <f>IF(selection!H1220=1,selection!N1220,NA())</f>
        <v/>
      </c>
      <c r="W1223">
        <f>IF(selection!H1220=0,selection!M1220,NA())</f>
        <v/>
      </c>
      <c r="X1223">
        <f>IF(selection!H1220=0,selection!N1220,NA())</f>
        <v/>
      </c>
    </row>
    <row r="1224">
      <c r="U1224">
        <f>IF(selection!H1221=1,selection!M1221,NA())</f>
        <v/>
      </c>
      <c r="V1224">
        <f>IF(selection!H1221=1,selection!N1221,NA())</f>
        <v/>
      </c>
      <c r="W1224">
        <f>IF(selection!H1221=0,selection!M1221,NA())</f>
        <v/>
      </c>
      <c r="X1224">
        <f>IF(selection!H1221=0,selection!N1221,NA())</f>
        <v/>
      </c>
    </row>
    <row r="1225">
      <c r="U1225">
        <f>IF(selection!H1222=1,selection!M1222,NA())</f>
        <v/>
      </c>
      <c r="V1225">
        <f>IF(selection!H1222=1,selection!N1222,NA())</f>
        <v/>
      </c>
      <c r="W1225">
        <f>IF(selection!H1222=0,selection!M1222,NA())</f>
        <v/>
      </c>
      <c r="X1225">
        <f>IF(selection!H1222=0,selection!N1222,NA())</f>
        <v/>
      </c>
    </row>
    <row r="1226">
      <c r="U1226">
        <f>IF(selection!H1223=1,selection!M1223,NA())</f>
        <v/>
      </c>
      <c r="V1226">
        <f>IF(selection!H1223=1,selection!N1223,NA())</f>
        <v/>
      </c>
      <c r="W1226">
        <f>IF(selection!H1223=0,selection!M1223,NA())</f>
        <v/>
      </c>
      <c r="X1226">
        <f>IF(selection!H1223=0,selection!N1223,NA())</f>
        <v/>
      </c>
    </row>
    <row r="1227">
      <c r="U1227">
        <f>IF(selection!H1224=1,selection!M1224,NA())</f>
        <v/>
      </c>
      <c r="V1227">
        <f>IF(selection!H1224=1,selection!N1224,NA())</f>
        <v/>
      </c>
      <c r="W1227">
        <f>IF(selection!H1224=0,selection!M1224,NA())</f>
        <v/>
      </c>
      <c r="X1227">
        <f>IF(selection!H1224=0,selection!N1224,NA())</f>
        <v/>
      </c>
    </row>
    <row r="1228">
      <c r="U1228">
        <f>IF(selection!H1225=1,selection!M1225,NA())</f>
        <v/>
      </c>
      <c r="V1228">
        <f>IF(selection!H1225=1,selection!N1225,NA())</f>
        <v/>
      </c>
      <c r="W1228">
        <f>IF(selection!H1225=0,selection!M1225,NA())</f>
        <v/>
      </c>
      <c r="X1228">
        <f>IF(selection!H1225=0,selection!N1225,NA())</f>
        <v/>
      </c>
    </row>
    <row r="1229">
      <c r="U1229">
        <f>IF(selection!H1226=1,selection!M1226,NA())</f>
        <v/>
      </c>
      <c r="V1229">
        <f>IF(selection!H1226=1,selection!N1226,NA())</f>
        <v/>
      </c>
      <c r="W1229">
        <f>IF(selection!H1226=0,selection!M1226,NA())</f>
        <v/>
      </c>
      <c r="X1229">
        <f>IF(selection!H1226=0,selection!N1226,NA())</f>
        <v/>
      </c>
    </row>
    <row r="1230">
      <c r="U1230">
        <f>IF(selection!H1227=1,selection!M1227,NA())</f>
        <v/>
      </c>
      <c r="V1230">
        <f>IF(selection!H1227=1,selection!N1227,NA())</f>
        <v/>
      </c>
      <c r="W1230">
        <f>IF(selection!H1227=0,selection!M1227,NA())</f>
        <v/>
      </c>
      <c r="X1230">
        <f>IF(selection!H1227=0,selection!N1227,NA())</f>
        <v/>
      </c>
    </row>
    <row r="1231">
      <c r="U1231">
        <f>IF(selection!H1228=1,selection!M1228,NA())</f>
        <v/>
      </c>
      <c r="V1231">
        <f>IF(selection!H1228=1,selection!N1228,NA())</f>
        <v/>
      </c>
      <c r="W1231">
        <f>IF(selection!H1228=0,selection!M1228,NA())</f>
        <v/>
      </c>
      <c r="X1231">
        <f>IF(selection!H1228=0,selection!N1228,NA())</f>
        <v/>
      </c>
    </row>
    <row r="1232">
      <c r="U1232">
        <f>IF(selection!H1229=1,selection!M1229,NA())</f>
        <v/>
      </c>
      <c r="V1232">
        <f>IF(selection!H1229=1,selection!N1229,NA())</f>
        <v/>
      </c>
      <c r="W1232">
        <f>IF(selection!H1229=0,selection!M1229,NA())</f>
        <v/>
      </c>
      <c r="X1232">
        <f>IF(selection!H1229=0,selection!N1229,NA())</f>
        <v/>
      </c>
    </row>
    <row r="1233">
      <c r="U1233">
        <f>IF(selection!H1230=1,selection!M1230,NA())</f>
        <v/>
      </c>
      <c r="V1233">
        <f>IF(selection!H1230=1,selection!N1230,NA())</f>
        <v/>
      </c>
      <c r="W1233">
        <f>IF(selection!H1230=0,selection!M1230,NA())</f>
        <v/>
      </c>
      <c r="X1233">
        <f>IF(selection!H1230=0,selection!N1230,NA())</f>
        <v/>
      </c>
    </row>
    <row r="1234">
      <c r="U1234">
        <f>IF(selection!H1231=1,selection!M1231,NA())</f>
        <v/>
      </c>
      <c r="V1234">
        <f>IF(selection!H1231=1,selection!N1231,NA())</f>
        <v/>
      </c>
      <c r="W1234">
        <f>IF(selection!H1231=0,selection!M1231,NA())</f>
        <v/>
      </c>
      <c r="X1234">
        <f>IF(selection!H1231=0,selection!N1231,NA())</f>
        <v/>
      </c>
    </row>
    <row r="1235">
      <c r="U1235">
        <f>IF(selection!H1232=1,selection!M1232,NA())</f>
        <v/>
      </c>
      <c r="V1235">
        <f>IF(selection!H1232=1,selection!N1232,NA())</f>
        <v/>
      </c>
      <c r="W1235">
        <f>IF(selection!H1232=0,selection!M1232,NA())</f>
        <v/>
      </c>
      <c r="X1235">
        <f>IF(selection!H1232=0,selection!N1232,NA())</f>
        <v/>
      </c>
    </row>
    <row r="1236">
      <c r="U1236">
        <f>IF(selection!H1233=1,selection!M1233,NA())</f>
        <v/>
      </c>
      <c r="V1236">
        <f>IF(selection!H1233=1,selection!N1233,NA())</f>
        <v/>
      </c>
      <c r="W1236">
        <f>IF(selection!H1233=0,selection!M1233,NA())</f>
        <v/>
      </c>
      <c r="X1236">
        <f>IF(selection!H1233=0,selection!N1233,NA())</f>
        <v/>
      </c>
    </row>
    <row r="1237">
      <c r="U1237">
        <f>IF(selection!H1234=1,selection!M1234,NA())</f>
        <v/>
      </c>
      <c r="V1237">
        <f>IF(selection!H1234=1,selection!N1234,NA())</f>
        <v/>
      </c>
      <c r="W1237">
        <f>IF(selection!H1234=0,selection!M1234,NA())</f>
        <v/>
      </c>
      <c r="X1237">
        <f>IF(selection!H1234=0,selection!N1234,NA())</f>
        <v/>
      </c>
    </row>
    <row r="1238">
      <c r="U1238">
        <f>IF(selection!H1235=1,selection!M1235,NA())</f>
        <v/>
      </c>
      <c r="V1238">
        <f>IF(selection!H1235=1,selection!N1235,NA())</f>
        <v/>
      </c>
      <c r="W1238">
        <f>IF(selection!H1235=0,selection!M1235,NA())</f>
        <v/>
      </c>
      <c r="X1238">
        <f>IF(selection!H1235=0,selection!N1235,NA())</f>
        <v/>
      </c>
    </row>
    <row r="1239">
      <c r="U1239">
        <f>IF(selection!H1236=1,selection!M1236,NA())</f>
        <v/>
      </c>
      <c r="V1239">
        <f>IF(selection!H1236=1,selection!N1236,NA())</f>
        <v/>
      </c>
      <c r="W1239">
        <f>IF(selection!H1236=0,selection!M1236,NA())</f>
        <v/>
      </c>
      <c r="X1239">
        <f>IF(selection!H1236=0,selection!N1236,NA())</f>
        <v/>
      </c>
    </row>
    <row r="1240">
      <c r="U1240">
        <f>IF(selection!H1237=1,selection!M1237,NA())</f>
        <v/>
      </c>
      <c r="V1240">
        <f>IF(selection!H1237=1,selection!N1237,NA())</f>
        <v/>
      </c>
      <c r="W1240">
        <f>IF(selection!H1237=0,selection!M1237,NA())</f>
        <v/>
      </c>
      <c r="X1240">
        <f>IF(selection!H1237=0,selection!N1237,NA())</f>
        <v/>
      </c>
    </row>
    <row r="1241">
      <c r="U1241">
        <f>IF(selection!H1238=1,selection!M1238,NA())</f>
        <v/>
      </c>
      <c r="V1241">
        <f>IF(selection!H1238=1,selection!N1238,NA())</f>
        <v/>
      </c>
      <c r="W1241">
        <f>IF(selection!H1238=0,selection!M1238,NA())</f>
        <v/>
      </c>
      <c r="X1241">
        <f>IF(selection!H1238=0,selection!N1238,NA())</f>
        <v/>
      </c>
    </row>
    <row r="1242">
      <c r="U1242">
        <f>IF(selection!H1239=1,selection!M1239,NA())</f>
        <v/>
      </c>
      <c r="V1242">
        <f>IF(selection!H1239=1,selection!N1239,NA())</f>
        <v/>
      </c>
      <c r="W1242">
        <f>IF(selection!H1239=0,selection!M1239,NA())</f>
        <v/>
      </c>
      <c r="X1242">
        <f>IF(selection!H1239=0,selection!N1239,NA())</f>
        <v/>
      </c>
    </row>
    <row r="1243">
      <c r="U1243">
        <f>IF(selection!H1240=1,selection!M1240,NA())</f>
        <v/>
      </c>
      <c r="V1243">
        <f>IF(selection!H1240=1,selection!N1240,NA())</f>
        <v/>
      </c>
      <c r="W1243">
        <f>IF(selection!H1240=0,selection!M1240,NA())</f>
        <v/>
      </c>
      <c r="X1243">
        <f>IF(selection!H1240=0,selection!N1240,NA())</f>
        <v/>
      </c>
    </row>
    <row r="1244">
      <c r="U1244">
        <f>IF(selection!H1241=1,selection!M1241,NA())</f>
        <v/>
      </c>
      <c r="V1244">
        <f>IF(selection!H1241=1,selection!N1241,NA())</f>
        <v/>
      </c>
      <c r="W1244">
        <f>IF(selection!H1241=0,selection!M1241,NA())</f>
        <v/>
      </c>
      <c r="X1244">
        <f>IF(selection!H1241=0,selection!N1241,NA())</f>
        <v/>
      </c>
    </row>
    <row r="1245">
      <c r="U1245">
        <f>IF(selection!H1242=1,selection!M1242,NA())</f>
        <v/>
      </c>
      <c r="V1245">
        <f>IF(selection!H1242=1,selection!N1242,NA())</f>
        <v/>
      </c>
      <c r="W1245">
        <f>IF(selection!H1242=0,selection!M1242,NA())</f>
        <v/>
      </c>
      <c r="X1245">
        <f>IF(selection!H1242=0,selection!N1242,NA())</f>
        <v/>
      </c>
    </row>
    <row r="1246">
      <c r="U1246">
        <f>IF(selection!H1243=1,selection!M1243,NA())</f>
        <v/>
      </c>
      <c r="V1246">
        <f>IF(selection!H1243=1,selection!N1243,NA())</f>
        <v/>
      </c>
      <c r="W1246">
        <f>IF(selection!H1243=0,selection!M1243,NA())</f>
        <v/>
      </c>
      <c r="X1246">
        <f>IF(selection!H1243=0,selection!N1243,NA())</f>
        <v/>
      </c>
    </row>
    <row r="1247">
      <c r="U1247">
        <f>IF(selection!H1244=1,selection!M1244,NA())</f>
        <v/>
      </c>
      <c r="V1247">
        <f>IF(selection!H1244=1,selection!N1244,NA())</f>
        <v/>
      </c>
      <c r="W1247">
        <f>IF(selection!H1244=0,selection!M1244,NA())</f>
        <v/>
      </c>
      <c r="X1247">
        <f>IF(selection!H1244=0,selection!N1244,NA())</f>
        <v/>
      </c>
    </row>
    <row r="1248">
      <c r="U1248">
        <f>IF(selection!H1245=1,selection!M1245,NA())</f>
        <v/>
      </c>
      <c r="V1248">
        <f>IF(selection!H1245=1,selection!N1245,NA())</f>
        <v/>
      </c>
      <c r="W1248">
        <f>IF(selection!H1245=0,selection!M1245,NA())</f>
        <v/>
      </c>
      <c r="X1248">
        <f>IF(selection!H1245=0,selection!N1245,NA())</f>
        <v/>
      </c>
    </row>
    <row r="1249">
      <c r="U1249">
        <f>IF(selection!H1246=1,selection!M1246,NA())</f>
        <v/>
      </c>
      <c r="V1249">
        <f>IF(selection!H1246=1,selection!N1246,NA())</f>
        <v/>
      </c>
      <c r="W1249">
        <f>IF(selection!H1246=0,selection!M1246,NA())</f>
        <v/>
      </c>
      <c r="X1249">
        <f>IF(selection!H1246=0,selection!N1246,NA())</f>
        <v/>
      </c>
    </row>
    <row r="1250">
      <c r="U1250">
        <f>IF(selection!H1247=1,selection!M1247,NA())</f>
        <v/>
      </c>
      <c r="V1250">
        <f>IF(selection!H1247=1,selection!N1247,NA())</f>
        <v/>
      </c>
      <c r="W1250">
        <f>IF(selection!H1247=0,selection!M1247,NA())</f>
        <v/>
      </c>
      <c r="X1250">
        <f>IF(selection!H1247=0,selection!N1247,NA())</f>
        <v/>
      </c>
    </row>
    <row r="1251">
      <c r="U1251">
        <f>IF(selection!H1248=1,selection!M1248,NA())</f>
        <v/>
      </c>
      <c r="V1251">
        <f>IF(selection!H1248=1,selection!N1248,NA())</f>
        <v/>
      </c>
      <c r="W1251">
        <f>IF(selection!H1248=0,selection!M1248,NA())</f>
        <v/>
      </c>
      <c r="X1251">
        <f>IF(selection!H1248=0,selection!N1248,NA())</f>
        <v/>
      </c>
    </row>
    <row r="1252">
      <c r="U1252">
        <f>IF(selection!H1249=1,selection!M1249,NA())</f>
        <v/>
      </c>
      <c r="V1252">
        <f>IF(selection!H1249=1,selection!N1249,NA())</f>
        <v/>
      </c>
      <c r="W1252">
        <f>IF(selection!H1249=0,selection!M1249,NA())</f>
        <v/>
      </c>
      <c r="X1252">
        <f>IF(selection!H1249=0,selection!N1249,NA())</f>
        <v/>
      </c>
    </row>
    <row r="1253">
      <c r="U1253">
        <f>IF(selection!H1250=1,selection!M1250,NA())</f>
        <v/>
      </c>
      <c r="V1253">
        <f>IF(selection!H1250=1,selection!N1250,NA())</f>
        <v/>
      </c>
      <c r="W1253">
        <f>IF(selection!H1250=0,selection!M1250,NA())</f>
        <v/>
      </c>
      <c r="X1253">
        <f>IF(selection!H1250=0,selection!N1250,NA())</f>
        <v/>
      </c>
    </row>
    <row r="1254">
      <c r="U1254">
        <f>IF(selection!H1251=1,selection!M1251,NA())</f>
        <v/>
      </c>
      <c r="V1254">
        <f>IF(selection!H1251=1,selection!N1251,NA())</f>
        <v/>
      </c>
      <c r="W1254">
        <f>IF(selection!H1251=0,selection!M1251,NA())</f>
        <v/>
      </c>
      <c r="X1254">
        <f>IF(selection!H1251=0,selection!N1251,NA())</f>
        <v/>
      </c>
    </row>
    <row r="1255">
      <c r="U1255">
        <f>IF(selection!H1252=1,selection!M1252,NA())</f>
        <v/>
      </c>
      <c r="V1255">
        <f>IF(selection!H1252=1,selection!N1252,NA())</f>
        <v/>
      </c>
      <c r="W1255">
        <f>IF(selection!H1252=0,selection!M1252,NA())</f>
        <v/>
      </c>
      <c r="X1255">
        <f>IF(selection!H1252=0,selection!N1252,NA())</f>
        <v/>
      </c>
    </row>
    <row r="1256">
      <c r="U1256">
        <f>IF(selection!H1253=1,selection!M1253,NA())</f>
        <v/>
      </c>
      <c r="V1256">
        <f>IF(selection!H1253=1,selection!N1253,NA())</f>
        <v/>
      </c>
      <c r="W1256">
        <f>IF(selection!H1253=0,selection!M1253,NA())</f>
        <v/>
      </c>
      <c r="X1256">
        <f>IF(selection!H1253=0,selection!N1253,NA())</f>
        <v/>
      </c>
    </row>
    <row r="1257">
      <c r="U1257">
        <f>IF(selection!H1254=1,selection!M1254,NA())</f>
        <v/>
      </c>
      <c r="V1257">
        <f>IF(selection!H1254=1,selection!N1254,NA())</f>
        <v/>
      </c>
      <c r="W1257">
        <f>IF(selection!H1254=0,selection!M1254,NA())</f>
        <v/>
      </c>
      <c r="X1257">
        <f>IF(selection!H1254=0,selection!N1254,NA())</f>
        <v/>
      </c>
    </row>
    <row r="1258">
      <c r="U1258">
        <f>IF(selection!H1255=1,selection!M1255,NA())</f>
        <v/>
      </c>
      <c r="V1258">
        <f>IF(selection!H1255=1,selection!N1255,NA())</f>
        <v/>
      </c>
      <c r="W1258">
        <f>IF(selection!H1255=0,selection!M1255,NA())</f>
        <v/>
      </c>
      <c r="X1258">
        <f>IF(selection!H1255=0,selection!N1255,NA())</f>
        <v/>
      </c>
    </row>
    <row r="1259">
      <c r="U1259">
        <f>IF(selection!H1256=1,selection!M1256,NA())</f>
        <v/>
      </c>
      <c r="V1259">
        <f>IF(selection!H1256=1,selection!N1256,NA())</f>
        <v/>
      </c>
      <c r="W1259">
        <f>IF(selection!H1256=0,selection!M1256,NA())</f>
        <v/>
      </c>
      <c r="X1259">
        <f>IF(selection!H1256=0,selection!N1256,NA())</f>
        <v/>
      </c>
    </row>
    <row r="1260">
      <c r="U1260">
        <f>IF(selection!H1257=1,selection!M1257,NA())</f>
        <v/>
      </c>
      <c r="V1260">
        <f>IF(selection!H1257=1,selection!N1257,NA())</f>
        <v/>
      </c>
      <c r="W1260">
        <f>IF(selection!H1257=0,selection!M1257,NA())</f>
        <v/>
      </c>
      <c r="X1260">
        <f>IF(selection!H1257=0,selection!N1257,NA())</f>
        <v/>
      </c>
    </row>
    <row r="1261">
      <c r="U1261">
        <f>IF(selection!H1258=1,selection!M1258,NA())</f>
        <v/>
      </c>
      <c r="V1261">
        <f>IF(selection!H1258=1,selection!N1258,NA())</f>
        <v/>
      </c>
      <c r="W1261">
        <f>IF(selection!H1258=0,selection!M1258,NA())</f>
        <v/>
      </c>
      <c r="X1261">
        <f>IF(selection!H1258=0,selection!N1258,NA())</f>
        <v/>
      </c>
    </row>
    <row r="1262">
      <c r="U1262">
        <f>IF(selection!H1259=1,selection!M1259,NA())</f>
        <v/>
      </c>
      <c r="V1262">
        <f>IF(selection!H1259=1,selection!N1259,NA())</f>
        <v/>
      </c>
      <c r="W1262">
        <f>IF(selection!H1259=0,selection!M1259,NA())</f>
        <v/>
      </c>
      <c r="X1262">
        <f>IF(selection!H1259=0,selection!N1259,NA())</f>
        <v/>
      </c>
    </row>
    <row r="1263">
      <c r="U1263">
        <f>IF(selection!H1260=1,selection!M1260,NA())</f>
        <v/>
      </c>
      <c r="V1263">
        <f>IF(selection!H1260=1,selection!N1260,NA())</f>
        <v/>
      </c>
      <c r="W1263">
        <f>IF(selection!H1260=0,selection!M1260,NA())</f>
        <v/>
      </c>
      <c r="X1263">
        <f>IF(selection!H1260=0,selection!N1260,NA())</f>
        <v/>
      </c>
    </row>
    <row r="1264">
      <c r="U1264">
        <f>IF(selection!H1261=1,selection!M1261,NA())</f>
        <v/>
      </c>
      <c r="V1264">
        <f>IF(selection!H1261=1,selection!N1261,NA())</f>
        <v/>
      </c>
      <c r="W1264">
        <f>IF(selection!H1261=0,selection!M1261,NA())</f>
        <v/>
      </c>
      <c r="X1264">
        <f>IF(selection!H1261=0,selection!N1261,NA())</f>
        <v/>
      </c>
    </row>
    <row r="1265">
      <c r="U1265">
        <f>IF(selection!H1262=1,selection!M1262,NA())</f>
        <v/>
      </c>
      <c r="V1265">
        <f>IF(selection!H1262=1,selection!N1262,NA())</f>
        <v/>
      </c>
      <c r="W1265">
        <f>IF(selection!H1262=0,selection!M1262,NA())</f>
        <v/>
      </c>
      <c r="X1265">
        <f>IF(selection!H1262=0,selection!N1262,NA())</f>
        <v/>
      </c>
    </row>
    <row r="1266">
      <c r="U1266">
        <f>IF(selection!H1263=1,selection!M1263,NA())</f>
        <v/>
      </c>
      <c r="V1266">
        <f>IF(selection!H1263=1,selection!N1263,NA())</f>
        <v/>
      </c>
      <c r="W1266">
        <f>IF(selection!H1263=0,selection!M1263,NA())</f>
        <v/>
      </c>
      <c r="X1266">
        <f>IF(selection!H1263=0,selection!N1263,NA())</f>
        <v/>
      </c>
    </row>
    <row r="1267">
      <c r="U1267">
        <f>IF(selection!H1264=1,selection!M1264,NA())</f>
        <v/>
      </c>
      <c r="V1267">
        <f>IF(selection!H1264=1,selection!N1264,NA())</f>
        <v/>
      </c>
      <c r="W1267">
        <f>IF(selection!H1264=0,selection!M1264,NA())</f>
        <v/>
      </c>
      <c r="X1267">
        <f>IF(selection!H1264=0,selection!N1264,NA())</f>
        <v/>
      </c>
    </row>
    <row r="1268">
      <c r="U1268">
        <f>IF(selection!H1265=1,selection!M1265,NA())</f>
        <v/>
      </c>
      <c r="V1268">
        <f>IF(selection!H1265=1,selection!N1265,NA())</f>
        <v/>
      </c>
      <c r="W1268">
        <f>IF(selection!H1265=0,selection!M1265,NA())</f>
        <v/>
      </c>
      <c r="X1268">
        <f>IF(selection!H1265=0,selection!N1265,NA())</f>
        <v/>
      </c>
    </row>
    <row r="1269">
      <c r="U1269">
        <f>IF(selection!H1266=1,selection!M1266,NA())</f>
        <v/>
      </c>
      <c r="V1269">
        <f>IF(selection!H1266=1,selection!N1266,NA())</f>
        <v/>
      </c>
      <c r="W1269">
        <f>IF(selection!H1266=0,selection!M1266,NA())</f>
        <v/>
      </c>
      <c r="X1269">
        <f>IF(selection!H1266=0,selection!N1266,NA())</f>
        <v/>
      </c>
    </row>
    <row r="1270">
      <c r="U1270">
        <f>IF(selection!H1267=1,selection!M1267,NA())</f>
        <v/>
      </c>
      <c r="V1270">
        <f>IF(selection!H1267=1,selection!N1267,NA())</f>
        <v/>
      </c>
      <c r="W1270">
        <f>IF(selection!H1267=0,selection!M1267,NA())</f>
        <v/>
      </c>
      <c r="X1270">
        <f>IF(selection!H1267=0,selection!N1267,NA())</f>
        <v/>
      </c>
    </row>
    <row r="1271">
      <c r="U1271">
        <f>IF(selection!H1268=1,selection!M1268,NA())</f>
        <v/>
      </c>
      <c r="V1271">
        <f>IF(selection!H1268=1,selection!N1268,NA())</f>
        <v/>
      </c>
      <c r="W1271">
        <f>IF(selection!H1268=0,selection!M1268,NA())</f>
        <v/>
      </c>
      <c r="X1271">
        <f>IF(selection!H1268=0,selection!N1268,NA())</f>
        <v/>
      </c>
    </row>
    <row r="1272">
      <c r="U1272">
        <f>IF(selection!H1269=1,selection!M1269,NA())</f>
        <v/>
      </c>
      <c r="V1272">
        <f>IF(selection!H1269=1,selection!N1269,NA())</f>
        <v/>
      </c>
      <c r="W1272">
        <f>IF(selection!H1269=0,selection!M1269,NA())</f>
        <v/>
      </c>
      <c r="X1272">
        <f>IF(selection!H1269=0,selection!N1269,NA())</f>
        <v/>
      </c>
    </row>
    <row r="1273">
      <c r="U1273">
        <f>IF(selection!H1270=1,selection!M1270,NA())</f>
        <v/>
      </c>
      <c r="V1273">
        <f>IF(selection!H1270=1,selection!N1270,NA())</f>
        <v/>
      </c>
      <c r="W1273">
        <f>IF(selection!H1270=0,selection!M1270,NA())</f>
        <v/>
      </c>
      <c r="X1273">
        <f>IF(selection!H1270=0,selection!N1270,NA())</f>
        <v/>
      </c>
    </row>
    <row r="1274">
      <c r="U1274">
        <f>IF(selection!H1271=1,selection!M1271,NA())</f>
        <v/>
      </c>
      <c r="V1274">
        <f>IF(selection!H1271=1,selection!N1271,NA())</f>
        <v/>
      </c>
      <c r="W1274">
        <f>IF(selection!H1271=0,selection!M1271,NA())</f>
        <v/>
      </c>
      <c r="X1274">
        <f>IF(selection!H1271=0,selection!N1271,NA())</f>
        <v/>
      </c>
    </row>
    <row r="1275">
      <c r="U1275">
        <f>IF(selection!H1272=1,selection!M1272,NA())</f>
        <v/>
      </c>
      <c r="V1275">
        <f>IF(selection!H1272=1,selection!N1272,NA())</f>
        <v/>
      </c>
      <c r="W1275">
        <f>IF(selection!H1272=0,selection!M1272,NA())</f>
        <v/>
      </c>
      <c r="X1275">
        <f>IF(selection!H1272=0,selection!N1272,NA())</f>
        <v/>
      </c>
    </row>
    <row r="1276">
      <c r="U1276">
        <f>IF(selection!H1273=1,selection!M1273,NA())</f>
        <v/>
      </c>
      <c r="V1276">
        <f>IF(selection!H1273=1,selection!N1273,NA())</f>
        <v/>
      </c>
      <c r="W1276">
        <f>IF(selection!H1273=0,selection!M1273,NA())</f>
        <v/>
      </c>
      <c r="X1276">
        <f>IF(selection!H1273=0,selection!N1273,NA())</f>
        <v/>
      </c>
    </row>
    <row r="1277">
      <c r="U1277">
        <f>IF(selection!H1274=1,selection!M1274,NA())</f>
        <v/>
      </c>
      <c r="V1277">
        <f>IF(selection!H1274=1,selection!N1274,NA())</f>
        <v/>
      </c>
      <c r="W1277">
        <f>IF(selection!H1274=0,selection!M1274,NA())</f>
        <v/>
      </c>
      <c r="X1277">
        <f>IF(selection!H1274=0,selection!N1274,NA())</f>
        <v/>
      </c>
    </row>
    <row r="1278">
      <c r="U1278">
        <f>IF(selection!H1275=1,selection!M1275,NA())</f>
        <v/>
      </c>
      <c r="V1278">
        <f>IF(selection!H1275=1,selection!N1275,NA())</f>
        <v/>
      </c>
      <c r="W1278">
        <f>IF(selection!H1275=0,selection!M1275,NA())</f>
        <v/>
      </c>
      <c r="X1278">
        <f>IF(selection!H1275=0,selection!N1275,NA())</f>
        <v/>
      </c>
    </row>
    <row r="1279">
      <c r="U1279">
        <f>IF(selection!H1276=1,selection!M1276,NA())</f>
        <v/>
      </c>
      <c r="V1279">
        <f>IF(selection!H1276=1,selection!N1276,NA())</f>
        <v/>
      </c>
      <c r="W1279">
        <f>IF(selection!H1276=0,selection!M1276,NA())</f>
        <v/>
      </c>
      <c r="X1279">
        <f>IF(selection!H1276=0,selection!N1276,NA())</f>
        <v/>
      </c>
    </row>
    <row r="1280">
      <c r="U1280">
        <f>IF(selection!H1277=1,selection!M1277,NA())</f>
        <v/>
      </c>
      <c r="V1280">
        <f>IF(selection!H1277=1,selection!N1277,NA())</f>
        <v/>
      </c>
      <c r="W1280">
        <f>IF(selection!H1277=0,selection!M1277,NA())</f>
        <v/>
      </c>
      <c r="X1280">
        <f>IF(selection!H1277=0,selection!N1277,NA())</f>
        <v/>
      </c>
    </row>
    <row r="1281">
      <c r="U1281">
        <f>IF(selection!H1278=1,selection!M1278,NA())</f>
        <v/>
      </c>
      <c r="V1281">
        <f>IF(selection!H1278=1,selection!N1278,NA())</f>
        <v/>
      </c>
      <c r="W1281">
        <f>IF(selection!H1278=0,selection!M1278,NA())</f>
        <v/>
      </c>
      <c r="X1281">
        <f>IF(selection!H1278=0,selection!N1278,NA())</f>
        <v/>
      </c>
    </row>
    <row r="1282">
      <c r="U1282">
        <f>IF(selection!H1279=1,selection!M1279,NA())</f>
        <v/>
      </c>
      <c r="V1282">
        <f>IF(selection!H1279=1,selection!N1279,NA())</f>
        <v/>
      </c>
      <c r="W1282">
        <f>IF(selection!H1279=0,selection!M1279,NA())</f>
        <v/>
      </c>
      <c r="X1282">
        <f>IF(selection!H1279=0,selection!N1279,NA())</f>
        <v/>
      </c>
    </row>
    <row r="1283">
      <c r="U1283">
        <f>IF(selection!H1280=1,selection!M1280,NA())</f>
        <v/>
      </c>
      <c r="V1283">
        <f>IF(selection!H1280=1,selection!N1280,NA())</f>
        <v/>
      </c>
      <c r="W1283">
        <f>IF(selection!H1280=0,selection!M1280,NA())</f>
        <v/>
      </c>
      <c r="X1283">
        <f>IF(selection!H1280=0,selection!N1280,NA())</f>
        <v/>
      </c>
    </row>
    <row r="1284">
      <c r="U1284">
        <f>IF(selection!H1281=1,selection!M1281,NA())</f>
        <v/>
      </c>
      <c r="V1284">
        <f>IF(selection!H1281=1,selection!N1281,NA())</f>
        <v/>
      </c>
      <c r="W1284">
        <f>IF(selection!H1281=0,selection!M1281,NA())</f>
        <v/>
      </c>
      <c r="X1284">
        <f>IF(selection!H1281=0,selection!N1281,NA())</f>
        <v/>
      </c>
    </row>
    <row r="1285">
      <c r="U1285">
        <f>IF(selection!H1282=1,selection!M1282,NA())</f>
        <v/>
      </c>
      <c r="V1285">
        <f>IF(selection!H1282=1,selection!N1282,NA())</f>
        <v/>
      </c>
      <c r="W1285">
        <f>IF(selection!H1282=0,selection!M1282,NA())</f>
        <v/>
      </c>
      <c r="X1285">
        <f>IF(selection!H1282=0,selection!N1282,NA())</f>
        <v/>
      </c>
    </row>
    <row r="1286">
      <c r="U1286">
        <f>IF(selection!H1283=1,selection!M1283,NA())</f>
        <v/>
      </c>
      <c r="V1286">
        <f>IF(selection!H1283=1,selection!N1283,NA())</f>
        <v/>
      </c>
      <c r="W1286">
        <f>IF(selection!H1283=0,selection!M1283,NA())</f>
        <v/>
      </c>
      <c r="X1286">
        <f>IF(selection!H1283=0,selection!N1283,NA())</f>
        <v/>
      </c>
    </row>
    <row r="1287">
      <c r="U1287">
        <f>IF(selection!H1284=1,selection!M1284,NA())</f>
        <v/>
      </c>
      <c r="V1287">
        <f>IF(selection!H1284=1,selection!N1284,NA())</f>
        <v/>
      </c>
      <c r="W1287">
        <f>IF(selection!H1284=0,selection!M1284,NA())</f>
        <v/>
      </c>
      <c r="X1287">
        <f>IF(selection!H1284=0,selection!N1284,NA())</f>
        <v/>
      </c>
    </row>
    <row r="1288">
      <c r="U1288">
        <f>IF(selection!H1285=1,selection!M1285,NA())</f>
        <v/>
      </c>
      <c r="V1288">
        <f>IF(selection!H1285=1,selection!N1285,NA())</f>
        <v/>
      </c>
      <c r="W1288">
        <f>IF(selection!H1285=0,selection!M1285,NA())</f>
        <v/>
      </c>
      <c r="X1288">
        <f>IF(selection!H1285=0,selection!N1285,NA())</f>
        <v/>
      </c>
    </row>
    <row r="1289">
      <c r="U1289">
        <f>IF(selection!H1286=1,selection!M1286,NA())</f>
        <v/>
      </c>
      <c r="V1289">
        <f>IF(selection!H1286=1,selection!N1286,NA())</f>
        <v/>
      </c>
      <c r="W1289">
        <f>IF(selection!H1286=0,selection!M1286,NA())</f>
        <v/>
      </c>
      <c r="X1289">
        <f>IF(selection!H1286=0,selection!N1286,NA())</f>
        <v/>
      </c>
    </row>
    <row r="1290">
      <c r="U1290">
        <f>IF(selection!H1287=1,selection!M1287,NA())</f>
        <v/>
      </c>
      <c r="V1290">
        <f>IF(selection!H1287=1,selection!N1287,NA())</f>
        <v/>
      </c>
      <c r="W1290">
        <f>IF(selection!H1287=0,selection!M1287,NA())</f>
        <v/>
      </c>
      <c r="X1290">
        <f>IF(selection!H1287=0,selection!N1287,NA())</f>
        <v/>
      </c>
    </row>
    <row r="1291">
      <c r="U1291">
        <f>IF(selection!H1288=1,selection!M1288,NA())</f>
        <v/>
      </c>
      <c r="V1291">
        <f>IF(selection!H1288=1,selection!N1288,NA())</f>
        <v/>
      </c>
      <c r="W1291">
        <f>IF(selection!H1288=0,selection!M1288,NA())</f>
        <v/>
      </c>
      <c r="X1291">
        <f>IF(selection!H1288=0,selection!N1288,NA())</f>
        <v/>
      </c>
    </row>
    <row r="1292">
      <c r="U1292">
        <f>IF(selection!H1289=1,selection!M1289,NA())</f>
        <v/>
      </c>
      <c r="V1292">
        <f>IF(selection!H1289=1,selection!N1289,NA())</f>
        <v/>
      </c>
      <c r="W1292">
        <f>IF(selection!H1289=0,selection!M1289,NA())</f>
        <v/>
      </c>
      <c r="X1292">
        <f>IF(selection!H1289=0,selection!N1289,NA())</f>
        <v/>
      </c>
    </row>
    <row r="1293">
      <c r="U1293">
        <f>IF(selection!H1290=1,selection!M1290,NA())</f>
        <v/>
      </c>
      <c r="V1293">
        <f>IF(selection!H1290=1,selection!N1290,NA())</f>
        <v/>
      </c>
      <c r="W1293">
        <f>IF(selection!H1290=0,selection!M1290,NA())</f>
        <v/>
      </c>
      <c r="X1293">
        <f>IF(selection!H1290=0,selection!N1290,NA())</f>
        <v/>
      </c>
    </row>
    <row r="1294">
      <c r="U1294">
        <f>IF(selection!H1291=1,selection!M1291,NA())</f>
        <v/>
      </c>
      <c r="V1294">
        <f>IF(selection!H1291=1,selection!N1291,NA())</f>
        <v/>
      </c>
      <c r="W1294">
        <f>IF(selection!H1291=0,selection!M1291,NA())</f>
        <v/>
      </c>
      <c r="X1294">
        <f>IF(selection!H1291=0,selection!N1291,NA())</f>
        <v/>
      </c>
    </row>
    <row r="1295">
      <c r="U1295">
        <f>IF(selection!H1292=1,selection!M1292,NA())</f>
        <v/>
      </c>
      <c r="V1295">
        <f>IF(selection!H1292=1,selection!N1292,NA())</f>
        <v/>
      </c>
      <c r="W1295">
        <f>IF(selection!H1292=0,selection!M1292,NA())</f>
        <v/>
      </c>
      <c r="X1295">
        <f>IF(selection!H1292=0,selection!N1292,NA())</f>
        <v/>
      </c>
    </row>
    <row r="1296">
      <c r="U1296">
        <f>IF(selection!H1293=1,selection!M1293,NA())</f>
        <v/>
      </c>
      <c r="V1296">
        <f>IF(selection!H1293=1,selection!N1293,NA())</f>
        <v/>
      </c>
      <c r="W1296">
        <f>IF(selection!H1293=0,selection!M1293,NA())</f>
        <v/>
      </c>
      <c r="X1296">
        <f>IF(selection!H1293=0,selection!N1293,NA())</f>
        <v/>
      </c>
    </row>
    <row r="1297">
      <c r="U1297">
        <f>IF(selection!H1294=1,selection!M1294,NA())</f>
        <v/>
      </c>
      <c r="V1297">
        <f>IF(selection!H1294=1,selection!N1294,NA())</f>
        <v/>
      </c>
      <c r="W1297">
        <f>IF(selection!H1294=0,selection!M1294,NA())</f>
        <v/>
      </c>
      <c r="X1297">
        <f>IF(selection!H1294=0,selection!N1294,NA())</f>
        <v/>
      </c>
    </row>
    <row r="1298">
      <c r="U1298">
        <f>IF(selection!H1295=1,selection!M1295,NA())</f>
        <v/>
      </c>
      <c r="V1298">
        <f>IF(selection!H1295=1,selection!N1295,NA())</f>
        <v/>
      </c>
      <c r="W1298">
        <f>IF(selection!H1295=0,selection!M1295,NA())</f>
        <v/>
      </c>
      <c r="X1298">
        <f>IF(selection!H1295=0,selection!N1295,NA())</f>
        <v/>
      </c>
    </row>
    <row r="1299">
      <c r="U1299">
        <f>IF(selection!H1296=1,selection!M1296,NA())</f>
        <v/>
      </c>
      <c r="V1299">
        <f>IF(selection!H1296=1,selection!N1296,NA())</f>
        <v/>
      </c>
      <c r="W1299">
        <f>IF(selection!H1296=0,selection!M1296,NA())</f>
        <v/>
      </c>
      <c r="X1299">
        <f>IF(selection!H1296=0,selection!N1296,NA())</f>
        <v/>
      </c>
    </row>
    <row r="1300">
      <c r="U1300">
        <f>IF(selection!H1297=1,selection!M1297,NA())</f>
        <v/>
      </c>
      <c r="V1300">
        <f>IF(selection!H1297=1,selection!N1297,NA())</f>
        <v/>
      </c>
      <c r="W1300">
        <f>IF(selection!H1297=0,selection!M1297,NA())</f>
        <v/>
      </c>
      <c r="X1300">
        <f>IF(selection!H1297=0,selection!N1297,NA())</f>
        <v/>
      </c>
    </row>
    <row r="1301">
      <c r="U1301">
        <f>IF(selection!H1298=1,selection!M1298,NA())</f>
        <v/>
      </c>
      <c r="V1301">
        <f>IF(selection!H1298=1,selection!N1298,NA())</f>
        <v/>
      </c>
      <c r="W1301">
        <f>IF(selection!H1298=0,selection!M1298,NA())</f>
        <v/>
      </c>
      <c r="X1301">
        <f>IF(selection!H1298=0,selection!N1298,NA())</f>
        <v/>
      </c>
    </row>
    <row r="1302">
      <c r="U1302">
        <f>IF(selection!H1299=1,selection!M1299,NA())</f>
        <v/>
      </c>
      <c r="V1302">
        <f>IF(selection!H1299=1,selection!N1299,NA())</f>
        <v/>
      </c>
      <c r="W1302">
        <f>IF(selection!H1299=0,selection!M1299,NA())</f>
        <v/>
      </c>
      <c r="X1302">
        <f>IF(selection!H1299=0,selection!N1299,NA())</f>
        <v/>
      </c>
    </row>
    <row r="1303">
      <c r="U1303">
        <f>IF(selection!H1300=1,selection!M1300,NA())</f>
        <v/>
      </c>
      <c r="V1303">
        <f>IF(selection!H1300=1,selection!N1300,NA())</f>
        <v/>
      </c>
      <c r="W1303">
        <f>IF(selection!H1300=0,selection!M1300,NA())</f>
        <v/>
      </c>
      <c r="X1303">
        <f>IF(selection!H1300=0,selection!N1300,NA())</f>
        <v/>
      </c>
    </row>
    <row r="1304">
      <c r="U1304">
        <f>IF(selection!H1301=1,selection!M1301,NA())</f>
        <v/>
      </c>
      <c r="V1304">
        <f>IF(selection!H1301=1,selection!N1301,NA())</f>
        <v/>
      </c>
      <c r="W1304">
        <f>IF(selection!H1301=0,selection!M1301,NA())</f>
        <v/>
      </c>
      <c r="X1304">
        <f>IF(selection!H1301=0,selection!N1301,NA())</f>
        <v/>
      </c>
    </row>
    <row r="1305">
      <c r="U1305">
        <f>IF(selection!H1302=1,selection!M1302,NA())</f>
        <v/>
      </c>
      <c r="V1305">
        <f>IF(selection!H1302=1,selection!N1302,NA())</f>
        <v/>
      </c>
      <c r="W1305">
        <f>IF(selection!H1302=0,selection!M1302,NA())</f>
        <v/>
      </c>
      <c r="X1305">
        <f>IF(selection!H1302=0,selection!N1302,NA())</f>
        <v/>
      </c>
    </row>
    <row r="1306">
      <c r="U1306">
        <f>IF(selection!H1303=1,selection!M1303,NA())</f>
        <v/>
      </c>
      <c r="V1306">
        <f>IF(selection!H1303=1,selection!N1303,NA())</f>
        <v/>
      </c>
      <c r="W1306">
        <f>IF(selection!H1303=0,selection!M1303,NA())</f>
        <v/>
      </c>
      <c r="X1306">
        <f>IF(selection!H1303=0,selection!N1303,NA())</f>
        <v/>
      </c>
    </row>
    <row r="1307">
      <c r="U1307">
        <f>IF(selection!H1304=1,selection!M1304,NA())</f>
        <v/>
      </c>
      <c r="V1307">
        <f>IF(selection!H1304=1,selection!N1304,NA())</f>
        <v/>
      </c>
      <c r="W1307">
        <f>IF(selection!H1304=0,selection!M1304,NA())</f>
        <v/>
      </c>
      <c r="X1307">
        <f>IF(selection!H1304=0,selection!N1304,NA())</f>
        <v/>
      </c>
    </row>
    <row r="1308">
      <c r="U1308">
        <f>IF(selection!H1305=1,selection!M1305,NA())</f>
        <v/>
      </c>
      <c r="V1308">
        <f>IF(selection!H1305=1,selection!N1305,NA())</f>
        <v/>
      </c>
      <c r="W1308">
        <f>IF(selection!H1305=0,selection!M1305,NA())</f>
        <v/>
      </c>
      <c r="X1308">
        <f>IF(selection!H1305=0,selection!N1305,NA())</f>
        <v/>
      </c>
    </row>
    <row r="1309">
      <c r="U1309">
        <f>IF(selection!H1306=1,selection!M1306,NA())</f>
        <v/>
      </c>
      <c r="V1309">
        <f>IF(selection!H1306=1,selection!N1306,NA())</f>
        <v/>
      </c>
      <c r="W1309">
        <f>IF(selection!H1306=0,selection!M1306,NA())</f>
        <v/>
      </c>
      <c r="X1309">
        <f>IF(selection!H1306=0,selection!N1306,NA())</f>
        <v/>
      </c>
    </row>
    <row r="1310">
      <c r="U1310">
        <f>IF(selection!H1307=1,selection!M1307,NA())</f>
        <v/>
      </c>
      <c r="V1310">
        <f>IF(selection!H1307=1,selection!N1307,NA())</f>
        <v/>
      </c>
      <c r="W1310">
        <f>IF(selection!H1307=0,selection!M1307,NA())</f>
        <v/>
      </c>
      <c r="X1310">
        <f>IF(selection!H1307=0,selection!N1307,NA())</f>
        <v/>
      </c>
    </row>
    <row r="1311">
      <c r="U1311">
        <f>IF(selection!H1308=1,selection!M1308,NA())</f>
        <v/>
      </c>
      <c r="V1311">
        <f>IF(selection!H1308=1,selection!N1308,NA())</f>
        <v/>
      </c>
      <c r="W1311">
        <f>IF(selection!H1308=0,selection!M1308,NA())</f>
        <v/>
      </c>
      <c r="X1311">
        <f>IF(selection!H1308=0,selection!N1308,NA())</f>
        <v/>
      </c>
    </row>
    <row r="1312">
      <c r="U1312">
        <f>IF(selection!H1309=1,selection!M1309,NA())</f>
        <v/>
      </c>
      <c r="V1312">
        <f>IF(selection!H1309=1,selection!N1309,NA())</f>
        <v/>
      </c>
      <c r="W1312">
        <f>IF(selection!H1309=0,selection!M1309,NA())</f>
        <v/>
      </c>
      <c r="X1312">
        <f>IF(selection!H1309=0,selection!N1309,NA())</f>
        <v/>
      </c>
    </row>
    <row r="1313">
      <c r="U1313">
        <f>IF(selection!H1310=1,selection!M1310,NA())</f>
        <v/>
      </c>
      <c r="V1313">
        <f>IF(selection!H1310=1,selection!N1310,NA())</f>
        <v/>
      </c>
      <c r="W1313">
        <f>IF(selection!H1310=0,selection!M1310,NA())</f>
        <v/>
      </c>
      <c r="X1313">
        <f>IF(selection!H1310=0,selection!N1310,NA())</f>
        <v/>
      </c>
    </row>
    <row r="1314">
      <c r="U1314">
        <f>IF(selection!H1311=1,selection!M1311,NA())</f>
        <v/>
      </c>
      <c r="V1314">
        <f>IF(selection!H1311=1,selection!N1311,NA())</f>
        <v/>
      </c>
      <c r="W1314">
        <f>IF(selection!H1311=0,selection!M1311,NA())</f>
        <v/>
      </c>
      <c r="X1314">
        <f>IF(selection!H1311=0,selection!N1311,NA())</f>
        <v/>
      </c>
    </row>
    <row r="1315">
      <c r="U1315">
        <f>IF(selection!H1312=1,selection!M1312,NA())</f>
        <v/>
      </c>
      <c r="V1315">
        <f>IF(selection!H1312=1,selection!N1312,NA())</f>
        <v/>
      </c>
      <c r="W1315">
        <f>IF(selection!H1312=0,selection!M1312,NA())</f>
        <v/>
      </c>
      <c r="X1315">
        <f>IF(selection!H1312=0,selection!N1312,NA())</f>
        <v/>
      </c>
    </row>
    <row r="1316">
      <c r="U1316">
        <f>IF(selection!H1313=1,selection!M1313,NA())</f>
        <v/>
      </c>
      <c r="V1316">
        <f>IF(selection!H1313=1,selection!N1313,NA())</f>
        <v/>
      </c>
      <c r="W1316">
        <f>IF(selection!H1313=0,selection!M1313,NA())</f>
        <v/>
      </c>
      <c r="X1316">
        <f>IF(selection!H1313=0,selection!N1313,NA())</f>
        <v/>
      </c>
    </row>
    <row r="1317">
      <c r="U1317">
        <f>IF(selection!H1314=1,selection!M1314,NA())</f>
        <v/>
      </c>
      <c r="V1317">
        <f>IF(selection!H1314=1,selection!N1314,NA())</f>
        <v/>
      </c>
      <c r="W1317">
        <f>IF(selection!H1314=0,selection!M1314,NA())</f>
        <v/>
      </c>
      <c r="X1317">
        <f>IF(selection!H1314=0,selection!N1314,NA())</f>
        <v/>
      </c>
    </row>
    <row r="1318">
      <c r="U1318">
        <f>IF(selection!H1315=1,selection!M1315,NA())</f>
        <v/>
      </c>
      <c r="V1318">
        <f>IF(selection!H1315=1,selection!N1315,NA())</f>
        <v/>
      </c>
      <c r="W1318">
        <f>IF(selection!H1315=0,selection!M1315,NA())</f>
        <v/>
      </c>
      <c r="X1318">
        <f>IF(selection!H1315=0,selection!N1315,NA())</f>
        <v/>
      </c>
    </row>
    <row r="1319">
      <c r="U1319">
        <f>IF(selection!H1316=1,selection!M1316,NA())</f>
        <v/>
      </c>
      <c r="V1319">
        <f>IF(selection!H1316=1,selection!N1316,NA())</f>
        <v/>
      </c>
      <c r="W1319">
        <f>IF(selection!H1316=0,selection!M1316,NA())</f>
        <v/>
      </c>
      <c r="X1319">
        <f>IF(selection!H1316=0,selection!N1316,NA())</f>
        <v/>
      </c>
    </row>
    <row r="1320">
      <c r="U1320">
        <f>IF(selection!H1317=1,selection!M1317,NA())</f>
        <v/>
      </c>
      <c r="V1320">
        <f>IF(selection!H1317=1,selection!N1317,NA())</f>
        <v/>
      </c>
      <c r="W1320">
        <f>IF(selection!H1317=0,selection!M1317,NA())</f>
        <v/>
      </c>
      <c r="X1320">
        <f>IF(selection!H1317=0,selection!N1317,NA())</f>
        <v/>
      </c>
    </row>
    <row r="1321">
      <c r="U1321">
        <f>IF(selection!H1318=1,selection!M1318,NA())</f>
        <v/>
      </c>
      <c r="V1321">
        <f>IF(selection!H1318=1,selection!N1318,NA())</f>
        <v/>
      </c>
      <c r="W1321">
        <f>IF(selection!H1318=0,selection!M1318,NA())</f>
        <v/>
      </c>
      <c r="X1321">
        <f>IF(selection!H1318=0,selection!N1318,NA())</f>
        <v/>
      </c>
    </row>
    <row r="1322">
      <c r="U1322">
        <f>IF(selection!H1319=1,selection!M1319,NA())</f>
        <v/>
      </c>
      <c r="V1322">
        <f>IF(selection!H1319=1,selection!N1319,NA())</f>
        <v/>
      </c>
      <c r="W1322">
        <f>IF(selection!H1319=0,selection!M1319,NA())</f>
        <v/>
      </c>
      <c r="X1322">
        <f>IF(selection!H1319=0,selection!N1319,NA())</f>
        <v/>
      </c>
    </row>
    <row r="1323">
      <c r="U1323">
        <f>IF(selection!H1320=1,selection!M1320,NA())</f>
        <v/>
      </c>
      <c r="V1323">
        <f>IF(selection!H1320=1,selection!N1320,NA())</f>
        <v/>
      </c>
      <c r="W1323">
        <f>IF(selection!H1320=0,selection!M1320,NA())</f>
        <v/>
      </c>
      <c r="X1323">
        <f>IF(selection!H1320=0,selection!N1320,NA())</f>
        <v/>
      </c>
    </row>
    <row r="1324">
      <c r="U1324">
        <f>IF(selection!H1321=1,selection!M1321,NA())</f>
        <v/>
      </c>
      <c r="V1324">
        <f>IF(selection!H1321=1,selection!N1321,NA())</f>
        <v/>
      </c>
      <c r="W1324">
        <f>IF(selection!H1321=0,selection!M1321,NA())</f>
        <v/>
      </c>
      <c r="X1324">
        <f>IF(selection!H1321=0,selection!N1321,NA())</f>
        <v/>
      </c>
    </row>
    <row r="1325">
      <c r="U1325">
        <f>IF(selection!H1322=1,selection!M1322,NA())</f>
        <v/>
      </c>
      <c r="V1325">
        <f>IF(selection!H1322=1,selection!N1322,NA())</f>
        <v/>
      </c>
      <c r="W1325">
        <f>IF(selection!H1322=0,selection!M1322,NA())</f>
        <v/>
      </c>
      <c r="X1325">
        <f>IF(selection!H1322=0,selection!N1322,NA())</f>
        <v/>
      </c>
    </row>
    <row r="1326">
      <c r="U1326">
        <f>IF(selection!H1323=1,selection!M1323,NA())</f>
        <v/>
      </c>
      <c r="V1326">
        <f>IF(selection!H1323=1,selection!N1323,NA())</f>
        <v/>
      </c>
      <c r="W1326">
        <f>IF(selection!H1323=0,selection!M1323,NA())</f>
        <v/>
      </c>
      <c r="X1326">
        <f>IF(selection!H1323=0,selection!N1323,NA())</f>
        <v/>
      </c>
    </row>
    <row r="1327">
      <c r="U1327">
        <f>IF(selection!H1324=1,selection!M1324,NA())</f>
        <v/>
      </c>
      <c r="V1327">
        <f>IF(selection!H1324=1,selection!N1324,NA())</f>
        <v/>
      </c>
      <c r="W1327">
        <f>IF(selection!H1324=0,selection!M1324,NA())</f>
        <v/>
      </c>
      <c r="X1327">
        <f>IF(selection!H1324=0,selection!N1324,NA())</f>
        <v/>
      </c>
    </row>
    <row r="1328">
      <c r="U1328">
        <f>IF(selection!H1325=1,selection!M1325,NA())</f>
        <v/>
      </c>
      <c r="V1328">
        <f>IF(selection!H1325=1,selection!N1325,NA())</f>
        <v/>
      </c>
      <c r="W1328">
        <f>IF(selection!H1325=0,selection!M1325,NA())</f>
        <v/>
      </c>
      <c r="X1328">
        <f>IF(selection!H1325=0,selection!N1325,NA())</f>
        <v/>
      </c>
    </row>
    <row r="1329">
      <c r="U1329">
        <f>IF(selection!H1326=1,selection!M1326,NA())</f>
        <v/>
      </c>
      <c r="V1329">
        <f>IF(selection!H1326=1,selection!N1326,NA())</f>
        <v/>
      </c>
      <c r="W1329">
        <f>IF(selection!H1326=0,selection!M1326,NA())</f>
        <v/>
      </c>
      <c r="X1329">
        <f>IF(selection!H1326=0,selection!N1326,NA())</f>
        <v/>
      </c>
    </row>
    <row r="1330">
      <c r="U1330">
        <f>IF(selection!H1327=1,selection!M1327,NA())</f>
        <v/>
      </c>
      <c r="V1330">
        <f>IF(selection!H1327=1,selection!N1327,NA())</f>
        <v/>
      </c>
      <c r="W1330">
        <f>IF(selection!H1327=0,selection!M1327,NA())</f>
        <v/>
      </c>
      <c r="X1330">
        <f>IF(selection!H1327=0,selection!N1327,NA())</f>
        <v/>
      </c>
    </row>
    <row r="1331">
      <c r="U1331">
        <f>IF(selection!H1328=1,selection!M1328,NA())</f>
        <v/>
      </c>
      <c r="V1331">
        <f>IF(selection!H1328=1,selection!N1328,NA())</f>
        <v/>
      </c>
      <c r="W1331">
        <f>IF(selection!H1328=0,selection!M1328,NA())</f>
        <v/>
      </c>
      <c r="X1331">
        <f>IF(selection!H1328=0,selection!N1328,NA())</f>
        <v/>
      </c>
    </row>
    <row r="1332">
      <c r="U1332">
        <f>IF(selection!H1329=1,selection!M1329,NA())</f>
        <v/>
      </c>
      <c r="V1332">
        <f>IF(selection!H1329=1,selection!N1329,NA())</f>
        <v/>
      </c>
      <c r="W1332">
        <f>IF(selection!H1329=0,selection!M1329,NA())</f>
        <v/>
      </c>
      <c r="X1332">
        <f>IF(selection!H1329=0,selection!N1329,NA())</f>
        <v/>
      </c>
    </row>
    <row r="1333">
      <c r="U1333">
        <f>IF(selection!H1330=1,selection!M1330,NA())</f>
        <v/>
      </c>
      <c r="V1333">
        <f>IF(selection!H1330=1,selection!N1330,NA())</f>
        <v/>
      </c>
      <c r="W1333">
        <f>IF(selection!H1330=0,selection!M1330,NA())</f>
        <v/>
      </c>
      <c r="X1333">
        <f>IF(selection!H1330=0,selection!N1330,NA())</f>
        <v/>
      </c>
    </row>
    <row r="1334">
      <c r="U1334">
        <f>IF(selection!H1331=1,selection!M1331,NA())</f>
        <v/>
      </c>
      <c r="V1334">
        <f>IF(selection!H1331=1,selection!N1331,NA())</f>
        <v/>
      </c>
      <c r="W1334">
        <f>IF(selection!H1331=0,selection!M1331,NA())</f>
        <v/>
      </c>
      <c r="X1334">
        <f>IF(selection!H1331=0,selection!N1331,NA())</f>
        <v/>
      </c>
    </row>
    <row r="1335">
      <c r="U1335">
        <f>IF(selection!H1332=1,selection!M1332,NA())</f>
        <v/>
      </c>
      <c r="V1335">
        <f>IF(selection!H1332=1,selection!N1332,NA())</f>
        <v/>
      </c>
      <c r="W1335">
        <f>IF(selection!H1332=0,selection!M1332,NA())</f>
        <v/>
      </c>
      <c r="X1335">
        <f>IF(selection!H1332=0,selection!N1332,NA())</f>
        <v/>
      </c>
    </row>
    <row r="1336">
      <c r="U1336">
        <f>IF(selection!H1333=1,selection!M1333,NA())</f>
        <v/>
      </c>
      <c r="V1336">
        <f>IF(selection!H1333=1,selection!N1333,NA())</f>
        <v/>
      </c>
      <c r="W1336">
        <f>IF(selection!H1333=0,selection!M1333,NA())</f>
        <v/>
      </c>
      <c r="X1336">
        <f>IF(selection!H1333=0,selection!N1333,NA())</f>
        <v/>
      </c>
    </row>
    <row r="1337">
      <c r="U1337">
        <f>IF(selection!H1334=1,selection!M1334,NA())</f>
        <v/>
      </c>
      <c r="V1337">
        <f>IF(selection!H1334=1,selection!N1334,NA())</f>
        <v/>
      </c>
      <c r="W1337">
        <f>IF(selection!H1334=0,selection!M1334,NA())</f>
        <v/>
      </c>
      <c r="X1337">
        <f>IF(selection!H1334=0,selection!N1334,NA())</f>
        <v/>
      </c>
    </row>
    <row r="1338">
      <c r="U1338">
        <f>IF(selection!H1335=1,selection!M1335,NA())</f>
        <v/>
      </c>
      <c r="V1338">
        <f>IF(selection!H1335=1,selection!N1335,NA())</f>
        <v/>
      </c>
      <c r="W1338">
        <f>IF(selection!H1335=0,selection!M1335,NA())</f>
        <v/>
      </c>
      <c r="X1338">
        <f>IF(selection!H1335=0,selection!N1335,NA())</f>
        <v/>
      </c>
    </row>
    <row r="1339">
      <c r="U1339">
        <f>IF(selection!H1336=1,selection!M1336,NA())</f>
        <v/>
      </c>
      <c r="V1339">
        <f>IF(selection!H1336=1,selection!N1336,NA())</f>
        <v/>
      </c>
      <c r="W1339">
        <f>IF(selection!H1336=0,selection!M1336,NA())</f>
        <v/>
      </c>
      <c r="X1339">
        <f>IF(selection!H1336=0,selection!N1336,NA())</f>
        <v/>
      </c>
    </row>
    <row r="1340">
      <c r="U1340">
        <f>IF(selection!H1337=1,selection!M1337,NA())</f>
        <v/>
      </c>
      <c r="V1340">
        <f>IF(selection!H1337=1,selection!N1337,NA())</f>
        <v/>
      </c>
      <c r="W1340">
        <f>IF(selection!H1337=0,selection!M1337,NA())</f>
        <v/>
      </c>
      <c r="X1340">
        <f>IF(selection!H1337=0,selection!N1337,NA())</f>
        <v/>
      </c>
    </row>
    <row r="1341">
      <c r="U1341">
        <f>IF(selection!H1338=1,selection!M1338,NA())</f>
        <v/>
      </c>
      <c r="V1341">
        <f>IF(selection!H1338=1,selection!N1338,NA())</f>
        <v/>
      </c>
      <c r="W1341">
        <f>IF(selection!H1338=0,selection!M1338,NA())</f>
        <v/>
      </c>
      <c r="X1341">
        <f>IF(selection!H1338=0,selection!N1338,NA())</f>
        <v/>
      </c>
    </row>
    <row r="1342">
      <c r="U1342">
        <f>IF(selection!H1339=1,selection!M1339,NA())</f>
        <v/>
      </c>
      <c r="V1342">
        <f>IF(selection!H1339=1,selection!N1339,NA())</f>
        <v/>
      </c>
      <c r="W1342">
        <f>IF(selection!H1339=0,selection!M1339,NA())</f>
        <v/>
      </c>
      <c r="X1342">
        <f>IF(selection!H1339=0,selection!N1339,NA())</f>
        <v/>
      </c>
    </row>
    <row r="1343">
      <c r="U1343">
        <f>IF(selection!H1340=1,selection!M1340,NA())</f>
        <v/>
      </c>
      <c r="V1343">
        <f>IF(selection!H1340=1,selection!N1340,NA())</f>
        <v/>
      </c>
      <c r="W1343">
        <f>IF(selection!H1340=0,selection!M1340,NA())</f>
        <v/>
      </c>
      <c r="X1343">
        <f>IF(selection!H1340=0,selection!N1340,NA())</f>
        <v/>
      </c>
    </row>
    <row r="1344">
      <c r="U1344">
        <f>IF(selection!H1341=1,selection!M1341,NA())</f>
        <v/>
      </c>
      <c r="V1344">
        <f>IF(selection!H1341=1,selection!N1341,NA())</f>
        <v/>
      </c>
      <c r="W1344">
        <f>IF(selection!H1341=0,selection!M1341,NA())</f>
        <v/>
      </c>
      <c r="X1344">
        <f>IF(selection!H1341=0,selection!N1341,NA())</f>
        <v/>
      </c>
    </row>
    <row r="1345">
      <c r="U1345">
        <f>IF(selection!H1342=1,selection!M1342,NA())</f>
        <v/>
      </c>
      <c r="V1345">
        <f>IF(selection!H1342=1,selection!N1342,NA())</f>
        <v/>
      </c>
      <c r="W1345">
        <f>IF(selection!H1342=0,selection!M1342,NA())</f>
        <v/>
      </c>
      <c r="X1345">
        <f>IF(selection!H1342=0,selection!N1342,NA())</f>
        <v/>
      </c>
    </row>
    <row r="1346">
      <c r="U1346">
        <f>IF(selection!H1343=1,selection!M1343,NA())</f>
        <v/>
      </c>
      <c r="V1346">
        <f>IF(selection!H1343=1,selection!N1343,NA())</f>
        <v/>
      </c>
      <c r="W1346">
        <f>IF(selection!H1343=0,selection!M1343,NA())</f>
        <v/>
      </c>
      <c r="X1346">
        <f>IF(selection!H1343=0,selection!N1343,NA())</f>
        <v/>
      </c>
    </row>
    <row r="1347">
      <c r="U1347">
        <f>IF(selection!H1344=1,selection!M1344,NA())</f>
        <v/>
      </c>
      <c r="V1347">
        <f>IF(selection!H1344=1,selection!N1344,NA())</f>
        <v/>
      </c>
      <c r="W1347">
        <f>IF(selection!H1344=0,selection!M1344,NA())</f>
        <v/>
      </c>
      <c r="X1347">
        <f>IF(selection!H1344=0,selection!N1344,NA())</f>
        <v/>
      </c>
    </row>
    <row r="1348">
      <c r="U1348">
        <f>IF(selection!H1345=1,selection!M1345,NA())</f>
        <v/>
      </c>
      <c r="V1348">
        <f>IF(selection!H1345=1,selection!N1345,NA())</f>
        <v/>
      </c>
      <c r="W1348">
        <f>IF(selection!H1345=0,selection!M1345,NA())</f>
        <v/>
      </c>
      <c r="X1348">
        <f>IF(selection!H1345=0,selection!N1345,NA())</f>
        <v/>
      </c>
    </row>
    <row r="1349">
      <c r="U1349">
        <f>IF(selection!H1346=1,selection!M1346,NA())</f>
        <v/>
      </c>
      <c r="V1349">
        <f>IF(selection!H1346=1,selection!N1346,NA())</f>
        <v/>
      </c>
      <c r="W1349">
        <f>IF(selection!H1346=0,selection!M1346,NA())</f>
        <v/>
      </c>
      <c r="X1349">
        <f>IF(selection!H1346=0,selection!N1346,NA())</f>
        <v/>
      </c>
    </row>
    <row r="1350">
      <c r="U1350">
        <f>IF(selection!H1347=1,selection!M1347,NA())</f>
        <v/>
      </c>
      <c r="V1350">
        <f>IF(selection!H1347=1,selection!N1347,NA())</f>
        <v/>
      </c>
      <c r="W1350">
        <f>IF(selection!H1347=0,selection!M1347,NA())</f>
        <v/>
      </c>
      <c r="X1350">
        <f>IF(selection!H1347=0,selection!N1347,NA())</f>
        <v/>
      </c>
    </row>
    <row r="1351">
      <c r="U1351">
        <f>IF(selection!H1348=1,selection!M1348,NA())</f>
        <v/>
      </c>
      <c r="V1351">
        <f>IF(selection!H1348=1,selection!N1348,NA())</f>
        <v/>
      </c>
      <c r="W1351">
        <f>IF(selection!H1348=0,selection!M1348,NA())</f>
        <v/>
      </c>
      <c r="X1351">
        <f>IF(selection!H1348=0,selection!N1348,NA())</f>
        <v/>
      </c>
    </row>
    <row r="1352">
      <c r="U1352">
        <f>IF(selection!H1349=1,selection!M1349,NA())</f>
        <v/>
      </c>
      <c r="V1352">
        <f>IF(selection!H1349=1,selection!N1349,NA())</f>
        <v/>
      </c>
      <c r="W1352">
        <f>IF(selection!H1349=0,selection!M1349,NA())</f>
        <v/>
      </c>
      <c r="X1352">
        <f>IF(selection!H1349=0,selection!N1349,NA())</f>
        <v/>
      </c>
    </row>
    <row r="1353">
      <c r="U1353">
        <f>IF(selection!H1350=1,selection!M1350,NA())</f>
        <v/>
      </c>
      <c r="V1353">
        <f>IF(selection!H1350=1,selection!N1350,NA())</f>
        <v/>
      </c>
      <c r="W1353">
        <f>IF(selection!H1350=0,selection!M1350,NA())</f>
        <v/>
      </c>
      <c r="X1353">
        <f>IF(selection!H1350=0,selection!N1350,NA())</f>
        <v/>
      </c>
    </row>
    <row r="1354">
      <c r="U1354">
        <f>IF(selection!H1351=1,selection!M1351,NA())</f>
        <v/>
      </c>
      <c r="V1354">
        <f>IF(selection!H1351=1,selection!N1351,NA())</f>
        <v/>
      </c>
      <c r="W1354">
        <f>IF(selection!H1351=0,selection!M1351,NA())</f>
        <v/>
      </c>
      <c r="X1354">
        <f>IF(selection!H1351=0,selection!N1351,NA())</f>
        <v/>
      </c>
    </row>
    <row r="1355">
      <c r="U1355">
        <f>IF(selection!H1352=1,selection!M1352,NA())</f>
        <v/>
      </c>
      <c r="V1355">
        <f>IF(selection!H1352=1,selection!N1352,NA())</f>
        <v/>
      </c>
      <c r="W1355">
        <f>IF(selection!H1352=0,selection!M1352,NA())</f>
        <v/>
      </c>
      <c r="X1355">
        <f>IF(selection!H1352=0,selection!N1352,NA())</f>
        <v/>
      </c>
    </row>
    <row r="1356">
      <c r="U1356">
        <f>IF(selection!H1353=1,selection!M1353,NA())</f>
        <v/>
      </c>
      <c r="V1356">
        <f>IF(selection!H1353=1,selection!N1353,NA())</f>
        <v/>
      </c>
      <c r="W1356">
        <f>IF(selection!H1353=0,selection!M1353,NA())</f>
        <v/>
      </c>
      <c r="X1356">
        <f>IF(selection!H1353=0,selection!N1353,NA())</f>
        <v/>
      </c>
    </row>
    <row r="1357">
      <c r="U1357">
        <f>IF(selection!H1354=1,selection!M1354,NA())</f>
        <v/>
      </c>
      <c r="V1357">
        <f>IF(selection!H1354=1,selection!N1354,NA())</f>
        <v/>
      </c>
      <c r="W1357">
        <f>IF(selection!H1354=0,selection!M1354,NA())</f>
        <v/>
      </c>
      <c r="X1357">
        <f>IF(selection!H1354=0,selection!N1354,NA())</f>
        <v/>
      </c>
    </row>
    <row r="1358">
      <c r="U1358">
        <f>IF(selection!H1355=1,selection!M1355,NA())</f>
        <v/>
      </c>
      <c r="V1358">
        <f>IF(selection!H1355=1,selection!N1355,NA())</f>
        <v/>
      </c>
      <c r="W1358">
        <f>IF(selection!H1355=0,selection!M1355,NA())</f>
        <v/>
      </c>
      <c r="X1358">
        <f>IF(selection!H1355=0,selection!N1355,NA())</f>
        <v/>
      </c>
    </row>
    <row r="1359">
      <c r="U1359">
        <f>IF(selection!H1356=1,selection!M1356,NA())</f>
        <v/>
      </c>
      <c r="V1359">
        <f>IF(selection!H1356=1,selection!N1356,NA())</f>
        <v/>
      </c>
      <c r="W1359">
        <f>IF(selection!H1356=0,selection!M1356,NA())</f>
        <v/>
      </c>
      <c r="X1359">
        <f>IF(selection!H1356=0,selection!N1356,NA())</f>
        <v/>
      </c>
    </row>
    <row r="1360">
      <c r="U1360">
        <f>IF(selection!H1357=1,selection!M1357,NA())</f>
        <v/>
      </c>
      <c r="V1360">
        <f>IF(selection!H1357=1,selection!N1357,NA())</f>
        <v/>
      </c>
      <c r="W1360">
        <f>IF(selection!H1357=0,selection!M1357,NA())</f>
        <v/>
      </c>
      <c r="X1360">
        <f>IF(selection!H1357=0,selection!N1357,NA())</f>
        <v/>
      </c>
    </row>
    <row r="1361">
      <c r="U1361">
        <f>IF(selection!H1358=1,selection!M1358,NA())</f>
        <v/>
      </c>
      <c r="V1361">
        <f>IF(selection!H1358=1,selection!N1358,NA())</f>
        <v/>
      </c>
      <c r="W1361">
        <f>IF(selection!H1358=0,selection!M1358,NA())</f>
        <v/>
      </c>
      <c r="X1361">
        <f>IF(selection!H1358=0,selection!N1358,NA())</f>
        <v/>
      </c>
    </row>
    <row r="1362">
      <c r="U1362">
        <f>IF(selection!H1359=1,selection!M1359,NA())</f>
        <v/>
      </c>
      <c r="V1362">
        <f>IF(selection!H1359=1,selection!N1359,NA())</f>
        <v/>
      </c>
      <c r="W1362">
        <f>IF(selection!H1359=0,selection!M1359,NA())</f>
        <v/>
      </c>
      <c r="X1362">
        <f>IF(selection!H1359=0,selection!N1359,NA())</f>
        <v/>
      </c>
    </row>
    <row r="1363">
      <c r="U1363">
        <f>IF(selection!H1360=1,selection!M1360,NA())</f>
        <v/>
      </c>
      <c r="V1363">
        <f>IF(selection!H1360=1,selection!N1360,NA())</f>
        <v/>
      </c>
      <c r="W1363">
        <f>IF(selection!H1360=0,selection!M1360,NA())</f>
        <v/>
      </c>
      <c r="X1363">
        <f>IF(selection!H1360=0,selection!N1360,NA())</f>
        <v/>
      </c>
    </row>
    <row r="1364">
      <c r="U1364">
        <f>IF(selection!H1361=1,selection!M1361,NA())</f>
        <v/>
      </c>
      <c r="V1364">
        <f>IF(selection!H1361=1,selection!N1361,NA())</f>
        <v/>
      </c>
      <c r="W1364">
        <f>IF(selection!H1361=0,selection!M1361,NA())</f>
        <v/>
      </c>
      <c r="X1364">
        <f>IF(selection!H1361=0,selection!N1361,NA())</f>
        <v/>
      </c>
    </row>
    <row r="1365">
      <c r="U1365">
        <f>IF(selection!H1362=1,selection!M1362,NA())</f>
        <v/>
      </c>
      <c r="V1365">
        <f>IF(selection!H1362=1,selection!N1362,NA())</f>
        <v/>
      </c>
      <c r="W1365">
        <f>IF(selection!H1362=0,selection!M1362,NA())</f>
        <v/>
      </c>
      <c r="X1365">
        <f>IF(selection!H1362=0,selection!N1362,NA())</f>
        <v/>
      </c>
    </row>
    <row r="1366">
      <c r="U1366">
        <f>IF(selection!H1363=1,selection!M1363,NA())</f>
        <v/>
      </c>
      <c r="V1366">
        <f>IF(selection!H1363=1,selection!N1363,NA())</f>
        <v/>
      </c>
      <c r="W1366">
        <f>IF(selection!H1363=0,selection!M1363,NA())</f>
        <v/>
      </c>
      <c r="X1366">
        <f>IF(selection!H1363=0,selection!N1363,NA())</f>
        <v/>
      </c>
    </row>
    <row r="1367">
      <c r="U1367">
        <f>IF(selection!H1364=1,selection!M1364,NA())</f>
        <v/>
      </c>
      <c r="V1367">
        <f>IF(selection!H1364=1,selection!N1364,NA())</f>
        <v/>
      </c>
      <c r="W1367">
        <f>IF(selection!H1364=0,selection!M1364,NA())</f>
        <v/>
      </c>
      <c r="X1367">
        <f>IF(selection!H1364=0,selection!N1364,NA())</f>
        <v/>
      </c>
    </row>
    <row r="1368">
      <c r="U1368">
        <f>IF(selection!H1365=1,selection!M1365,NA())</f>
        <v/>
      </c>
      <c r="V1368">
        <f>IF(selection!H1365=1,selection!N1365,NA())</f>
        <v/>
      </c>
      <c r="W1368">
        <f>IF(selection!H1365=0,selection!M1365,NA())</f>
        <v/>
      </c>
      <c r="X1368">
        <f>IF(selection!H1365=0,selection!N1365,NA())</f>
        <v/>
      </c>
    </row>
    <row r="1369">
      <c r="U1369">
        <f>IF(selection!H1366=1,selection!M1366,NA())</f>
        <v/>
      </c>
      <c r="V1369">
        <f>IF(selection!H1366=1,selection!N1366,NA())</f>
        <v/>
      </c>
      <c r="W1369">
        <f>IF(selection!H1366=0,selection!M1366,NA())</f>
        <v/>
      </c>
      <c r="X1369">
        <f>IF(selection!H1366=0,selection!N1366,NA())</f>
        <v/>
      </c>
    </row>
    <row r="1370">
      <c r="U1370">
        <f>IF(selection!H1367=1,selection!M1367,NA())</f>
        <v/>
      </c>
      <c r="V1370">
        <f>IF(selection!H1367=1,selection!N1367,NA())</f>
        <v/>
      </c>
      <c r="W1370">
        <f>IF(selection!H1367=0,selection!M1367,NA())</f>
        <v/>
      </c>
      <c r="X1370">
        <f>IF(selection!H1367=0,selection!N1367,NA())</f>
        <v/>
      </c>
    </row>
    <row r="1371">
      <c r="U1371">
        <f>IF(selection!H1368=1,selection!M1368,NA())</f>
        <v/>
      </c>
      <c r="V1371">
        <f>IF(selection!H1368=1,selection!N1368,NA())</f>
        <v/>
      </c>
      <c r="W1371">
        <f>IF(selection!H1368=0,selection!M1368,NA())</f>
        <v/>
      </c>
      <c r="X1371">
        <f>IF(selection!H1368=0,selection!N1368,NA())</f>
        <v/>
      </c>
    </row>
    <row r="1372">
      <c r="U1372">
        <f>IF(selection!H1369=1,selection!M1369,NA())</f>
        <v/>
      </c>
      <c r="V1372">
        <f>IF(selection!H1369=1,selection!N1369,NA())</f>
        <v/>
      </c>
      <c r="W1372">
        <f>IF(selection!H1369=0,selection!M1369,NA())</f>
        <v/>
      </c>
      <c r="X1372">
        <f>IF(selection!H1369=0,selection!N1369,NA())</f>
        <v/>
      </c>
    </row>
    <row r="1373">
      <c r="U1373">
        <f>IF(selection!H1370=1,selection!M1370,NA())</f>
        <v/>
      </c>
      <c r="V1373">
        <f>IF(selection!H1370=1,selection!N1370,NA())</f>
        <v/>
      </c>
      <c r="W1373">
        <f>IF(selection!H1370=0,selection!M1370,NA())</f>
        <v/>
      </c>
      <c r="X1373">
        <f>IF(selection!H1370=0,selection!N1370,NA())</f>
        <v/>
      </c>
    </row>
    <row r="1374">
      <c r="U1374">
        <f>IF(selection!H1371=1,selection!M1371,NA())</f>
        <v/>
      </c>
      <c r="V1374">
        <f>IF(selection!H1371=1,selection!N1371,NA())</f>
        <v/>
      </c>
      <c r="W1374">
        <f>IF(selection!H1371=0,selection!M1371,NA())</f>
        <v/>
      </c>
      <c r="X1374">
        <f>IF(selection!H1371=0,selection!N1371,NA())</f>
        <v/>
      </c>
    </row>
    <row r="1375">
      <c r="U1375">
        <f>IF(selection!H1372=1,selection!M1372,NA())</f>
        <v/>
      </c>
      <c r="V1375">
        <f>IF(selection!H1372=1,selection!N1372,NA())</f>
        <v/>
      </c>
      <c r="W1375">
        <f>IF(selection!H1372=0,selection!M1372,NA())</f>
        <v/>
      </c>
      <c r="X1375">
        <f>IF(selection!H1372=0,selection!N1372,NA())</f>
        <v/>
      </c>
    </row>
    <row r="1376">
      <c r="U1376">
        <f>IF(selection!H1373=1,selection!M1373,NA())</f>
        <v/>
      </c>
      <c r="V1376">
        <f>IF(selection!H1373=1,selection!N1373,NA())</f>
        <v/>
      </c>
      <c r="W1376">
        <f>IF(selection!H1373=0,selection!M1373,NA())</f>
        <v/>
      </c>
      <c r="X1376">
        <f>IF(selection!H1373=0,selection!N1373,NA())</f>
        <v/>
      </c>
    </row>
    <row r="1377">
      <c r="U1377">
        <f>IF(selection!H1374=1,selection!M1374,NA())</f>
        <v/>
      </c>
      <c r="V1377">
        <f>IF(selection!H1374=1,selection!N1374,NA())</f>
        <v/>
      </c>
      <c r="W1377">
        <f>IF(selection!H1374=0,selection!M1374,NA())</f>
        <v/>
      </c>
      <c r="X1377">
        <f>IF(selection!H1374=0,selection!N1374,NA())</f>
        <v/>
      </c>
    </row>
    <row r="1378">
      <c r="U1378">
        <f>IF(selection!H1375=1,selection!M1375,NA())</f>
        <v/>
      </c>
      <c r="V1378">
        <f>IF(selection!H1375=1,selection!N1375,NA())</f>
        <v/>
      </c>
      <c r="W1378">
        <f>IF(selection!H1375=0,selection!M1375,NA())</f>
        <v/>
      </c>
      <c r="X1378">
        <f>IF(selection!H1375=0,selection!N1375,NA())</f>
        <v/>
      </c>
    </row>
    <row r="1379">
      <c r="U1379">
        <f>IF(selection!H1376=1,selection!M1376,NA())</f>
        <v/>
      </c>
      <c r="V1379">
        <f>IF(selection!H1376=1,selection!N1376,NA())</f>
        <v/>
      </c>
      <c r="W1379">
        <f>IF(selection!H1376=0,selection!M1376,NA())</f>
        <v/>
      </c>
      <c r="X1379">
        <f>IF(selection!H1376=0,selection!N1376,NA())</f>
        <v/>
      </c>
    </row>
    <row r="1380">
      <c r="U1380">
        <f>IF(selection!H1377=1,selection!M1377,NA())</f>
        <v/>
      </c>
      <c r="V1380">
        <f>IF(selection!H1377=1,selection!N1377,NA())</f>
        <v/>
      </c>
      <c r="W1380">
        <f>IF(selection!H1377=0,selection!M1377,NA())</f>
        <v/>
      </c>
      <c r="X1380">
        <f>IF(selection!H1377=0,selection!N1377,NA())</f>
        <v/>
      </c>
    </row>
    <row r="1381">
      <c r="U1381">
        <f>IF(selection!H1378=1,selection!M1378,NA())</f>
        <v/>
      </c>
      <c r="V1381">
        <f>IF(selection!H1378=1,selection!N1378,NA())</f>
        <v/>
      </c>
      <c r="W1381">
        <f>IF(selection!H1378=0,selection!M1378,NA())</f>
        <v/>
      </c>
      <c r="X1381">
        <f>IF(selection!H1378=0,selection!N1378,NA())</f>
        <v/>
      </c>
    </row>
    <row r="1382">
      <c r="U1382">
        <f>IF(selection!H1379=1,selection!M1379,NA())</f>
        <v/>
      </c>
      <c r="V1382">
        <f>IF(selection!H1379=1,selection!N1379,NA())</f>
        <v/>
      </c>
      <c r="W1382">
        <f>IF(selection!H1379=0,selection!M1379,NA())</f>
        <v/>
      </c>
      <c r="X1382">
        <f>IF(selection!H1379=0,selection!N1379,NA())</f>
        <v/>
      </c>
    </row>
    <row r="1383">
      <c r="U1383">
        <f>IF(selection!H1380=1,selection!M1380,NA())</f>
        <v/>
      </c>
      <c r="V1383">
        <f>IF(selection!H1380=1,selection!N1380,NA())</f>
        <v/>
      </c>
      <c r="W1383">
        <f>IF(selection!H1380=0,selection!M1380,NA())</f>
        <v/>
      </c>
      <c r="X1383">
        <f>IF(selection!H1380=0,selection!N1380,NA())</f>
        <v/>
      </c>
    </row>
    <row r="1384">
      <c r="U1384">
        <f>IF(selection!H1381=1,selection!M1381,NA())</f>
        <v/>
      </c>
      <c r="V1384">
        <f>IF(selection!H1381=1,selection!N1381,NA())</f>
        <v/>
      </c>
      <c r="W1384">
        <f>IF(selection!H1381=0,selection!M1381,NA())</f>
        <v/>
      </c>
      <c r="X1384">
        <f>IF(selection!H1381=0,selection!N1381,NA())</f>
        <v/>
      </c>
    </row>
    <row r="1385">
      <c r="U1385">
        <f>IF(selection!H1382=1,selection!M1382,NA())</f>
        <v/>
      </c>
      <c r="V1385">
        <f>IF(selection!H1382=1,selection!N1382,NA())</f>
        <v/>
      </c>
      <c r="W1385">
        <f>IF(selection!H1382=0,selection!M1382,NA())</f>
        <v/>
      </c>
      <c r="X1385">
        <f>IF(selection!H1382=0,selection!N1382,NA())</f>
        <v/>
      </c>
    </row>
    <row r="1386">
      <c r="U1386">
        <f>IF(selection!H1383=1,selection!M1383,NA())</f>
        <v/>
      </c>
      <c r="V1386">
        <f>IF(selection!H1383=1,selection!N1383,NA())</f>
        <v/>
      </c>
      <c r="W1386">
        <f>IF(selection!H1383=0,selection!M1383,NA())</f>
        <v/>
      </c>
      <c r="X1386">
        <f>IF(selection!H1383=0,selection!N1383,NA())</f>
        <v/>
      </c>
    </row>
    <row r="1387">
      <c r="U1387">
        <f>IF(selection!H1384=1,selection!M1384,NA())</f>
        <v/>
      </c>
      <c r="V1387">
        <f>IF(selection!H1384=1,selection!N1384,NA())</f>
        <v/>
      </c>
      <c r="W1387">
        <f>IF(selection!H1384=0,selection!M1384,NA())</f>
        <v/>
      </c>
      <c r="X1387">
        <f>IF(selection!H1384=0,selection!N1384,NA())</f>
        <v/>
      </c>
    </row>
    <row r="1388">
      <c r="U1388">
        <f>IF(selection!H1385=1,selection!M1385,NA())</f>
        <v/>
      </c>
      <c r="V1388">
        <f>IF(selection!H1385=1,selection!N1385,NA())</f>
        <v/>
      </c>
      <c r="W1388">
        <f>IF(selection!H1385=0,selection!M1385,NA())</f>
        <v/>
      </c>
      <c r="X1388">
        <f>IF(selection!H1385=0,selection!N1385,NA())</f>
        <v/>
      </c>
    </row>
    <row r="1389">
      <c r="U1389">
        <f>IF(selection!H1386=1,selection!M1386,NA())</f>
        <v/>
      </c>
      <c r="V1389">
        <f>IF(selection!H1386=1,selection!N1386,NA())</f>
        <v/>
      </c>
      <c r="W1389">
        <f>IF(selection!H1386=0,selection!M1386,NA())</f>
        <v/>
      </c>
      <c r="X1389">
        <f>IF(selection!H1386=0,selection!N1386,NA())</f>
        <v/>
      </c>
    </row>
    <row r="1390">
      <c r="U1390">
        <f>IF(selection!H1387=1,selection!M1387,NA())</f>
        <v/>
      </c>
      <c r="V1390">
        <f>IF(selection!H1387=1,selection!N1387,NA())</f>
        <v/>
      </c>
      <c r="W1390">
        <f>IF(selection!H1387=0,selection!M1387,NA())</f>
        <v/>
      </c>
      <c r="X1390">
        <f>IF(selection!H1387=0,selection!N1387,NA())</f>
        <v/>
      </c>
    </row>
    <row r="1391">
      <c r="U1391">
        <f>IF(selection!H1388=1,selection!M1388,NA())</f>
        <v/>
      </c>
      <c r="V1391">
        <f>IF(selection!H1388=1,selection!N1388,NA())</f>
        <v/>
      </c>
      <c r="W1391">
        <f>IF(selection!H1388=0,selection!M1388,NA())</f>
        <v/>
      </c>
      <c r="X1391">
        <f>IF(selection!H1388=0,selection!N1388,NA())</f>
        <v/>
      </c>
    </row>
    <row r="1392">
      <c r="U1392">
        <f>IF(selection!H1389=1,selection!M1389,NA())</f>
        <v/>
      </c>
      <c r="V1392">
        <f>IF(selection!H1389=1,selection!N1389,NA())</f>
        <v/>
      </c>
      <c r="W1392">
        <f>IF(selection!H1389=0,selection!M1389,NA())</f>
        <v/>
      </c>
      <c r="X1392">
        <f>IF(selection!H1389=0,selection!N1389,NA())</f>
        <v/>
      </c>
    </row>
    <row r="1393">
      <c r="U1393">
        <f>IF(selection!H1390=1,selection!M1390,NA())</f>
        <v/>
      </c>
      <c r="V1393">
        <f>IF(selection!H1390=1,selection!N1390,NA())</f>
        <v/>
      </c>
      <c r="W1393">
        <f>IF(selection!H1390=0,selection!M1390,NA())</f>
        <v/>
      </c>
      <c r="X1393">
        <f>IF(selection!H1390=0,selection!N1390,NA())</f>
        <v/>
      </c>
    </row>
    <row r="1394">
      <c r="U1394">
        <f>IF(selection!H1391=1,selection!M1391,NA())</f>
        <v/>
      </c>
      <c r="V1394">
        <f>IF(selection!H1391=1,selection!N1391,NA())</f>
        <v/>
      </c>
      <c r="W1394">
        <f>IF(selection!H1391=0,selection!M1391,NA())</f>
        <v/>
      </c>
      <c r="X1394">
        <f>IF(selection!H1391=0,selection!N1391,NA())</f>
        <v/>
      </c>
    </row>
    <row r="1395">
      <c r="U1395">
        <f>IF(selection!H1392=1,selection!M1392,NA())</f>
        <v/>
      </c>
      <c r="V1395">
        <f>IF(selection!H1392=1,selection!N1392,NA())</f>
        <v/>
      </c>
      <c r="W1395">
        <f>IF(selection!H1392=0,selection!M1392,NA())</f>
        <v/>
      </c>
      <c r="X1395">
        <f>IF(selection!H1392=0,selection!N1392,NA())</f>
        <v/>
      </c>
    </row>
    <row r="1396">
      <c r="U1396">
        <f>IF(selection!H1393=1,selection!M1393,NA())</f>
        <v/>
      </c>
      <c r="V1396">
        <f>IF(selection!H1393=1,selection!N1393,NA())</f>
        <v/>
      </c>
      <c r="W1396">
        <f>IF(selection!H1393=0,selection!M1393,NA())</f>
        <v/>
      </c>
      <c r="X1396">
        <f>IF(selection!H1393=0,selection!N1393,NA())</f>
        <v/>
      </c>
    </row>
    <row r="1397">
      <c r="U1397">
        <f>IF(selection!H1394=1,selection!M1394,NA())</f>
        <v/>
      </c>
      <c r="V1397">
        <f>IF(selection!H1394=1,selection!N1394,NA())</f>
        <v/>
      </c>
      <c r="W1397">
        <f>IF(selection!H1394=0,selection!M1394,NA())</f>
        <v/>
      </c>
      <c r="X1397">
        <f>IF(selection!H1394=0,selection!N1394,NA())</f>
        <v/>
      </c>
    </row>
    <row r="1398">
      <c r="U1398">
        <f>IF(selection!H1395=1,selection!M1395,NA())</f>
        <v/>
      </c>
      <c r="V1398">
        <f>IF(selection!H1395=1,selection!N1395,NA())</f>
        <v/>
      </c>
      <c r="W1398">
        <f>IF(selection!H1395=0,selection!M1395,NA())</f>
        <v/>
      </c>
      <c r="X1398">
        <f>IF(selection!H1395=0,selection!N1395,NA())</f>
        <v/>
      </c>
    </row>
    <row r="1399">
      <c r="U1399">
        <f>IF(selection!H1396=1,selection!M1396,NA())</f>
        <v/>
      </c>
      <c r="V1399">
        <f>IF(selection!H1396=1,selection!N1396,NA())</f>
        <v/>
      </c>
      <c r="W1399">
        <f>IF(selection!H1396=0,selection!M1396,NA())</f>
        <v/>
      </c>
      <c r="X1399">
        <f>IF(selection!H1396=0,selection!N1396,NA())</f>
        <v/>
      </c>
    </row>
    <row r="1400">
      <c r="U1400">
        <f>IF(selection!H1397=1,selection!M1397,NA())</f>
        <v/>
      </c>
      <c r="V1400">
        <f>IF(selection!H1397=1,selection!N1397,NA())</f>
        <v/>
      </c>
      <c r="W1400">
        <f>IF(selection!H1397=0,selection!M1397,NA())</f>
        <v/>
      </c>
      <c r="X1400">
        <f>IF(selection!H1397=0,selection!N1397,NA())</f>
        <v/>
      </c>
    </row>
    <row r="1401">
      <c r="U1401">
        <f>IF(selection!H1398=1,selection!M1398,NA())</f>
        <v/>
      </c>
      <c r="V1401">
        <f>IF(selection!H1398=1,selection!N1398,NA())</f>
        <v/>
      </c>
      <c r="W1401">
        <f>IF(selection!H1398=0,selection!M1398,NA())</f>
        <v/>
      </c>
      <c r="X1401">
        <f>IF(selection!H1398=0,selection!N1398,NA())</f>
        <v/>
      </c>
    </row>
    <row r="1402">
      <c r="U1402">
        <f>IF(selection!H1399=1,selection!M1399,NA())</f>
        <v/>
      </c>
      <c r="V1402">
        <f>IF(selection!H1399=1,selection!N1399,NA())</f>
        <v/>
      </c>
      <c r="W1402">
        <f>IF(selection!H1399=0,selection!M1399,NA())</f>
        <v/>
      </c>
      <c r="X1402">
        <f>IF(selection!H1399=0,selection!N1399,NA())</f>
        <v/>
      </c>
    </row>
    <row r="1403">
      <c r="U1403">
        <f>IF(selection!H1400=1,selection!M1400,NA())</f>
        <v/>
      </c>
      <c r="V1403">
        <f>IF(selection!H1400=1,selection!N1400,NA())</f>
        <v/>
      </c>
      <c r="W1403">
        <f>IF(selection!H1400=0,selection!M1400,NA())</f>
        <v/>
      </c>
      <c r="X1403">
        <f>IF(selection!H1400=0,selection!N1400,NA())</f>
        <v/>
      </c>
    </row>
    <row r="1404">
      <c r="U1404">
        <f>IF(selection!H1401=1,selection!M1401,NA())</f>
        <v/>
      </c>
      <c r="V1404">
        <f>IF(selection!H1401=1,selection!N1401,NA())</f>
        <v/>
      </c>
      <c r="W1404">
        <f>IF(selection!H1401=0,selection!M1401,NA())</f>
        <v/>
      </c>
      <c r="X1404">
        <f>IF(selection!H1401=0,selection!N1401,NA())</f>
        <v/>
      </c>
    </row>
    <row r="1405">
      <c r="U1405">
        <f>IF(selection!H1402=1,selection!M1402,NA())</f>
        <v/>
      </c>
      <c r="V1405">
        <f>IF(selection!H1402=1,selection!N1402,NA())</f>
        <v/>
      </c>
      <c r="W1405">
        <f>IF(selection!H1402=0,selection!M1402,NA())</f>
        <v/>
      </c>
      <c r="X1405">
        <f>IF(selection!H1402=0,selection!N1402,NA())</f>
        <v/>
      </c>
    </row>
    <row r="1406">
      <c r="U1406">
        <f>IF(selection!H1403=1,selection!M1403,NA())</f>
        <v/>
      </c>
      <c r="V1406">
        <f>IF(selection!H1403=1,selection!N1403,NA())</f>
        <v/>
      </c>
      <c r="W1406">
        <f>IF(selection!H1403=0,selection!M1403,NA())</f>
        <v/>
      </c>
      <c r="X1406">
        <f>IF(selection!H1403=0,selection!N1403,NA())</f>
        <v/>
      </c>
    </row>
    <row r="1407">
      <c r="U1407">
        <f>IF(selection!H1404=1,selection!M1404,NA())</f>
        <v/>
      </c>
      <c r="V1407">
        <f>IF(selection!H1404=1,selection!N1404,NA())</f>
        <v/>
      </c>
      <c r="W1407">
        <f>IF(selection!H1404=0,selection!M1404,NA())</f>
        <v/>
      </c>
      <c r="X1407">
        <f>IF(selection!H1404=0,selection!N1404,NA())</f>
        <v/>
      </c>
    </row>
    <row r="1408">
      <c r="U1408">
        <f>IF(selection!H1405=1,selection!M1405,NA())</f>
        <v/>
      </c>
      <c r="V1408">
        <f>IF(selection!H1405=1,selection!N1405,NA())</f>
        <v/>
      </c>
      <c r="W1408">
        <f>IF(selection!H1405=0,selection!M1405,NA())</f>
        <v/>
      </c>
      <c r="X1408">
        <f>IF(selection!H1405=0,selection!N1405,NA())</f>
        <v/>
      </c>
    </row>
    <row r="1409">
      <c r="U1409">
        <f>IF(selection!H1406=1,selection!M1406,NA())</f>
        <v/>
      </c>
      <c r="V1409">
        <f>IF(selection!H1406=1,selection!N1406,NA())</f>
        <v/>
      </c>
      <c r="W1409">
        <f>IF(selection!H1406=0,selection!M1406,NA())</f>
        <v/>
      </c>
      <c r="X1409">
        <f>IF(selection!H1406=0,selection!N1406,NA())</f>
        <v/>
      </c>
    </row>
    <row r="1410">
      <c r="U1410">
        <f>IF(selection!H1407=1,selection!M1407,NA())</f>
        <v/>
      </c>
      <c r="V1410">
        <f>IF(selection!H1407=1,selection!N1407,NA())</f>
        <v/>
      </c>
      <c r="W1410">
        <f>IF(selection!H1407=0,selection!M1407,NA())</f>
        <v/>
      </c>
      <c r="X1410">
        <f>IF(selection!H1407=0,selection!N1407,NA())</f>
        <v/>
      </c>
    </row>
    <row r="1411">
      <c r="U1411">
        <f>IF(selection!H1408=1,selection!M1408,NA())</f>
        <v/>
      </c>
      <c r="V1411">
        <f>IF(selection!H1408=1,selection!N1408,NA())</f>
        <v/>
      </c>
      <c r="W1411">
        <f>IF(selection!H1408=0,selection!M1408,NA())</f>
        <v/>
      </c>
      <c r="X1411">
        <f>IF(selection!H1408=0,selection!N1408,NA())</f>
        <v/>
      </c>
    </row>
    <row r="1412">
      <c r="U1412">
        <f>IF(selection!H1409=1,selection!M1409,NA())</f>
        <v/>
      </c>
      <c r="V1412">
        <f>IF(selection!H1409=1,selection!N1409,NA())</f>
        <v/>
      </c>
      <c r="W1412">
        <f>IF(selection!H1409=0,selection!M1409,NA())</f>
        <v/>
      </c>
      <c r="X1412">
        <f>IF(selection!H1409=0,selection!N1409,NA())</f>
        <v/>
      </c>
    </row>
    <row r="1413">
      <c r="U1413">
        <f>IF(selection!H1410=1,selection!M1410,NA())</f>
        <v/>
      </c>
      <c r="V1413">
        <f>IF(selection!H1410=1,selection!N1410,NA())</f>
        <v/>
      </c>
      <c r="W1413">
        <f>IF(selection!H1410=0,selection!M1410,NA())</f>
        <v/>
      </c>
      <c r="X1413">
        <f>IF(selection!H1410=0,selection!N1410,NA())</f>
        <v/>
      </c>
    </row>
    <row r="1414">
      <c r="U1414">
        <f>IF(selection!H1411=1,selection!M1411,NA())</f>
        <v/>
      </c>
      <c r="V1414">
        <f>IF(selection!H1411=1,selection!N1411,NA())</f>
        <v/>
      </c>
      <c r="W1414">
        <f>IF(selection!H1411=0,selection!M1411,NA())</f>
        <v/>
      </c>
      <c r="X1414">
        <f>IF(selection!H1411=0,selection!N1411,NA())</f>
        <v/>
      </c>
    </row>
    <row r="1415">
      <c r="U1415">
        <f>IF(selection!H1412=1,selection!M1412,NA())</f>
        <v/>
      </c>
      <c r="V1415">
        <f>IF(selection!H1412=1,selection!N1412,NA())</f>
        <v/>
      </c>
      <c r="W1415">
        <f>IF(selection!H1412=0,selection!M1412,NA())</f>
        <v/>
      </c>
      <c r="X1415">
        <f>IF(selection!H1412=0,selection!N1412,NA())</f>
        <v/>
      </c>
    </row>
    <row r="1416">
      <c r="U1416">
        <f>IF(selection!H1413=1,selection!M1413,NA())</f>
        <v/>
      </c>
      <c r="V1416">
        <f>IF(selection!H1413=1,selection!N1413,NA())</f>
        <v/>
      </c>
      <c r="W1416">
        <f>IF(selection!H1413=0,selection!M1413,NA())</f>
        <v/>
      </c>
      <c r="X1416">
        <f>IF(selection!H1413=0,selection!N1413,NA())</f>
        <v/>
      </c>
    </row>
    <row r="1417">
      <c r="U1417">
        <f>IF(selection!H1414=1,selection!M1414,NA())</f>
        <v/>
      </c>
      <c r="V1417">
        <f>IF(selection!H1414=1,selection!N1414,NA())</f>
        <v/>
      </c>
      <c r="W1417">
        <f>IF(selection!H1414=0,selection!M1414,NA())</f>
        <v/>
      </c>
      <c r="X1417">
        <f>IF(selection!H1414=0,selection!N1414,NA())</f>
        <v/>
      </c>
    </row>
    <row r="1418">
      <c r="U1418">
        <f>IF(selection!H1415=1,selection!M1415,NA())</f>
        <v/>
      </c>
      <c r="V1418">
        <f>IF(selection!H1415=1,selection!N1415,NA())</f>
        <v/>
      </c>
      <c r="W1418">
        <f>IF(selection!H1415=0,selection!M1415,NA())</f>
        <v/>
      </c>
      <c r="X1418">
        <f>IF(selection!H1415=0,selection!N1415,NA())</f>
        <v/>
      </c>
    </row>
    <row r="1419">
      <c r="U1419">
        <f>IF(selection!H1416=1,selection!M1416,NA())</f>
        <v/>
      </c>
      <c r="V1419">
        <f>IF(selection!H1416=1,selection!N1416,NA())</f>
        <v/>
      </c>
      <c r="W1419">
        <f>IF(selection!H1416=0,selection!M1416,NA())</f>
        <v/>
      </c>
      <c r="X1419">
        <f>IF(selection!H1416=0,selection!N1416,NA())</f>
        <v/>
      </c>
    </row>
    <row r="1420">
      <c r="U1420">
        <f>IF(selection!H1417=1,selection!M1417,NA())</f>
        <v/>
      </c>
      <c r="V1420">
        <f>IF(selection!H1417=1,selection!N1417,NA())</f>
        <v/>
      </c>
      <c r="W1420">
        <f>IF(selection!H1417=0,selection!M1417,NA())</f>
        <v/>
      </c>
      <c r="X1420">
        <f>IF(selection!H1417=0,selection!N1417,NA())</f>
        <v/>
      </c>
    </row>
    <row r="1421">
      <c r="U1421">
        <f>IF(selection!H1418=1,selection!M1418,NA())</f>
        <v/>
      </c>
      <c r="V1421">
        <f>IF(selection!H1418=1,selection!N1418,NA())</f>
        <v/>
      </c>
      <c r="W1421">
        <f>IF(selection!H1418=0,selection!M1418,NA())</f>
        <v/>
      </c>
      <c r="X1421">
        <f>IF(selection!H1418=0,selection!N1418,NA())</f>
        <v/>
      </c>
    </row>
    <row r="1422">
      <c r="U1422">
        <f>IF(selection!H1419=1,selection!M1419,NA())</f>
        <v/>
      </c>
      <c r="V1422">
        <f>IF(selection!H1419=1,selection!N1419,NA())</f>
        <v/>
      </c>
      <c r="W1422">
        <f>IF(selection!H1419=0,selection!M1419,NA())</f>
        <v/>
      </c>
      <c r="X1422">
        <f>IF(selection!H1419=0,selection!N1419,NA())</f>
        <v/>
      </c>
    </row>
    <row r="1423">
      <c r="U1423">
        <f>IF(selection!H1420=1,selection!M1420,NA())</f>
        <v/>
      </c>
      <c r="V1423">
        <f>IF(selection!H1420=1,selection!N1420,NA())</f>
        <v/>
      </c>
      <c r="W1423">
        <f>IF(selection!H1420=0,selection!M1420,NA())</f>
        <v/>
      </c>
      <c r="X1423">
        <f>IF(selection!H1420=0,selection!N1420,NA())</f>
        <v/>
      </c>
    </row>
    <row r="1424">
      <c r="U1424">
        <f>IF(selection!H1421=1,selection!M1421,NA())</f>
        <v/>
      </c>
      <c r="V1424">
        <f>IF(selection!H1421=1,selection!N1421,NA())</f>
        <v/>
      </c>
      <c r="W1424">
        <f>IF(selection!H1421=0,selection!M1421,NA())</f>
        <v/>
      </c>
      <c r="X1424">
        <f>IF(selection!H1421=0,selection!N1421,NA())</f>
        <v/>
      </c>
    </row>
    <row r="1425">
      <c r="U1425">
        <f>IF(selection!H1422=1,selection!M1422,NA())</f>
        <v/>
      </c>
      <c r="V1425">
        <f>IF(selection!H1422=1,selection!N1422,NA())</f>
        <v/>
      </c>
      <c r="W1425">
        <f>IF(selection!H1422=0,selection!M1422,NA())</f>
        <v/>
      </c>
      <c r="X1425">
        <f>IF(selection!H1422=0,selection!N1422,NA())</f>
        <v/>
      </c>
    </row>
    <row r="1426">
      <c r="U1426">
        <f>IF(selection!H1423=1,selection!M1423,NA())</f>
        <v/>
      </c>
      <c r="V1426">
        <f>IF(selection!H1423=1,selection!N1423,NA())</f>
        <v/>
      </c>
      <c r="W1426">
        <f>IF(selection!H1423=0,selection!M1423,NA())</f>
        <v/>
      </c>
      <c r="X1426">
        <f>IF(selection!H1423=0,selection!N1423,NA())</f>
        <v/>
      </c>
    </row>
    <row r="1427">
      <c r="U1427">
        <f>IF(selection!H1424=1,selection!M1424,NA())</f>
        <v/>
      </c>
      <c r="V1427">
        <f>IF(selection!H1424=1,selection!N1424,NA())</f>
        <v/>
      </c>
      <c r="W1427">
        <f>IF(selection!H1424=0,selection!M1424,NA())</f>
        <v/>
      </c>
      <c r="X1427">
        <f>IF(selection!H1424=0,selection!N1424,NA())</f>
        <v/>
      </c>
    </row>
    <row r="1428">
      <c r="U1428">
        <f>IF(selection!H1425=1,selection!M1425,NA())</f>
        <v/>
      </c>
      <c r="V1428">
        <f>IF(selection!H1425=1,selection!N1425,NA())</f>
        <v/>
      </c>
      <c r="W1428">
        <f>IF(selection!H1425=0,selection!M1425,NA())</f>
        <v/>
      </c>
      <c r="X1428">
        <f>IF(selection!H1425=0,selection!N1425,NA())</f>
        <v/>
      </c>
    </row>
    <row r="1429">
      <c r="U1429">
        <f>IF(selection!H1426=1,selection!M1426,NA())</f>
        <v/>
      </c>
      <c r="V1429">
        <f>IF(selection!H1426=1,selection!N1426,NA())</f>
        <v/>
      </c>
      <c r="W1429">
        <f>IF(selection!H1426=0,selection!M1426,NA())</f>
        <v/>
      </c>
      <c r="X1429">
        <f>IF(selection!H1426=0,selection!N1426,NA())</f>
        <v/>
      </c>
    </row>
    <row r="1430">
      <c r="U1430">
        <f>IF(selection!H1427=1,selection!M1427,NA())</f>
        <v/>
      </c>
      <c r="V1430">
        <f>IF(selection!H1427=1,selection!N1427,NA())</f>
        <v/>
      </c>
      <c r="W1430">
        <f>IF(selection!H1427=0,selection!M1427,NA())</f>
        <v/>
      </c>
      <c r="X1430">
        <f>IF(selection!H1427=0,selection!N1427,NA())</f>
        <v/>
      </c>
    </row>
    <row r="1431">
      <c r="U1431">
        <f>IF(selection!H1428=1,selection!M1428,NA())</f>
        <v/>
      </c>
      <c r="V1431">
        <f>IF(selection!H1428=1,selection!N1428,NA())</f>
        <v/>
      </c>
      <c r="W1431">
        <f>IF(selection!H1428=0,selection!M1428,NA())</f>
        <v/>
      </c>
      <c r="X1431">
        <f>IF(selection!H1428=0,selection!N1428,NA())</f>
        <v/>
      </c>
    </row>
    <row r="1432">
      <c r="U1432">
        <f>IF(selection!H1429=1,selection!M1429,NA())</f>
        <v/>
      </c>
      <c r="V1432">
        <f>IF(selection!H1429=1,selection!N1429,NA())</f>
        <v/>
      </c>
      <c r="W1432">
        <f>IF(selection!H1429=0,selection!M1429,NA())</f>
        <v/>
      </c>
      <c r="X1432">
        <f>IF(selection!H1429=0,selection!N1429,NA())</f>
        <v/>
      </c>
    </row>
    <row r="1433">
      <c r="U1433">
        <f>IF(selection!H1430=1,selection!M1430,NA())</f>
        <v/>
      </c>
      <c r="V1433">
        <f>IF(selection!H1430=1,selection!N1430,NA())</f>
        <v/>
      </c>
      <c r="W1433">
        <f>IF(selection!H1430=0,selection!M1430,NA())</f>
        <v/>
      </c>
      <c r="X1433">
        <f>IF(selection!H1430=0,selection!N1430,NA())</f>
        <v/>
      </c>
    </row>
    <row r="1434">
      <c r="U1434">
        <f>IF(selection!H1431=1,selection!M1431,NA())</f>
        <v/>
      </c>
      <c r="V1434">
        <f>IF(selection!H1431=1,selection!N1431,NA())</f>
        <v/>
      </c>
      <c r="W1434">
        <f>IF(selection!H1431=0,selection!M1431,NA())</f>
        <v/>
      </c>
      <c r="X1434">
        <f>IF(selection!H1431=0,selection!N1431,NA())</f>
        <v/>
      </c>
    </row>
    <row r="1435">
      <c r="U1435">
        <f>IF(selection!H1432=1,selection!M1432,NA())</f>
        <v/>
      </c>
      <c r="V1435">
        <f>IF(selection!H1432=1,selection!N1432,NA())</f>
        <v/>
      </c>
      <c r="W1435">
        <f>IF(selection!H1432=0,selection!M1432,NA())</f>
        <v/>
      </c>
      <c r="X1435">
        <f>IF(selection!H1432=0,selection!N1432,NA())</f>
        <v/>
      </c>
    </row>
    <row r="1436">
      <c r="U1436">
        <f>IF(selection!H1433=1,selection!M1433,NA())</f>
        <v/>
      </c>
      <c r="V1436">
        <f>IF(selection!H1433=1,selection!N1433,NA())</f>
        <v/>
      </c>
      <c r="W1436">
        <f>IF(selection!H1433=0,selection!M1433,NA())</f>
        <v/>
      </c>
      <c r="X1436">
        <f>IF(selection!H1433=0,selection!N1433,NA())</f>
        <v/>
      </c>
    </row>
    <row r="1437">
      <c r="U1437">
        <f>IF(selection!H1434=1,selection!M1434,NA())</f>
        <v/>
      </c>
      <c r="V1437">
        <f>IF(selection!H1434=1,selection!N1434,NA())</f>
        <v/>
      </c>
      <c r="W1437">
        <f>IF(selection!H1434=0,selection!M1434,NA())</f>
        <v/>
      </c>
      <c r="X1437">
        <f>IF(selection!H1434=0,selection!N1434,NA())</f>
        <v/>
      </c>
    </row>
    <row r="1438">
      <c r="U1438">
        <f>IF(selection!H1435=1,selection!M1435,NA())</f>
        <v/>
      </c>
      <c r="V1438">
        <f>IF(selection!H1435=1,selection!N1435,NA())</f>
        <v/>
      </c>
      <c r="W1438">
        <f>IF(selection!H1435=0,selection!M1435,NA())</f>
        <v/>
      </c>
      <c r="X1438">
        <f>IF(selection!H1435=0,selection!N1435,NA())</f>
        <v/>
      </c>
    </row>
    <row r="1439">
      <c r="U1439">
        <f>IF(selection!H1436=1,selection!M1436,NA())</f>
        <v/>
      </c>
      <c r="V1439">
        <f>IF(selection!H1436=1,selection!N1436,NA())</f>
        <v/>
      </c>
      <c r="W1439">
        <f>IF(selection!H1436=0,selection!M1436,NA())</f>
        <v/>
      </c>
      <c r="X1439">
        <f>IF(selection!H1436=0,selection!N1436,NA())</f>
        <v/>
      </c>
    </row>
    <row r="1440">
      <c r="U1440">
        <f>IF(selection!H1437=1,selection!M1437,NA())</f>
        <v/>
      </c>
      <c r="V1440">
        <f>IF(selection!H1437=1,selection!N1437,NA())</f>
        <v/>
      </c>
      <c r="W1440">
        <f>IF(selection!H1437=0,selection!M1437,NA())</f>
        <v/>
      </c>
      <c r="X1440">
        <f>IF(selection!H1437=0,selection!N1437,NA())</f>
        <v/>
      </c>
    </row>
    <row r="1441">
      <c r="U1441">
        <f>IF(selection!H1438=1,selection!M1438,NA())</f>
        <v/>
      </c>
      <c r="V1441">
        <f>IF(selection!H1438=1,selection!N1438,NA())</f>
        <v/>
      </c>
      <c r="W1441">
        <f>IF(selection!H1438=0,selection!M1438,NA())</f>
        <v/>
      </c>
      <c r="X1441">
        <f>IF(selection!H1438=0,selection!N1438,NA())</f>
        <v/>
      </c>
    </row>
    <row r="1442">
      <c r="U1442">
        <f>IF(selection!H1439=1,selection!M1439,NA())</f>
        <v/>
      </c>
      <c r="V1442">
        <f>IF(selection!H1439=1,selection!N1439,NA())</f>
        <v/>
      </c>
      <c r="W1442">
        <f>IF(selection!H1439=0,selection!M1439,NA())</f>
        <v/>
      </c>
      <c r="X1442">
        <f>IF(selection!H1439=0,selection!N1439,NA())</f>
        <v/>
      </c>
    </row>
    <row r="1443">
      <c r="U1443">
        <f>IF(selection!H1440=1,selection!M1440,NA())</f>
        <v/>
      </c>
      <c r="V1443">
        <f>IF(selection!H1440=1,selection!N1440,NA())</f>
        <v/>
      </c>
      <c r="W1443">
        <f>IF(selection!H1440=0,selection!M1440,NA())</f>
        <v/>
      </c>
      <c r="X1443">
        <f>IF(selection!H1440=0,selection!N1440,NA())</f>
        <v/>
      </c>
    </row>
    <row r="1444">
      <c r="U1444">
        <f>IF(selection!H1441=1,selection!M1441,NA())</f>
        <v/>
      </c>
      <c r="V1444">
        <f>IF(selection!H1441=1,selection!N1441,NA())</f>
        <v/>
      </c>
      <c r="W1444">
        <f>IF(selection!H1441=0,selection!M1441,NA())</f>
        <v/>
      </c>
      <c r="X1444">
        <f>IF(selection!H1441=0,selection!N1441,NA())</f>
        <v/>
      </c>
    </row>
    <row r="1445">
      <c r="U1445">
        <f>IF(selection!H1442=1,selection!M1442,NA())</f>
        <v/>
      </c>
      <c r="V1445">
        <f>IF(selection!H1442=1,selection!N1442,NA())</f>
        <v/>
      </c>
      <c r="W1445">
        <f>IF(selection!H1442=0,selection!M1442,NA())</f>
        <v/>
      </c>
      <c r="X1445">
        <f>IF(selection!H1442=0,selection!N1442,NA())</f>
        <v/>
      </c>
    </row>
    <row r="1446">
      <c r="U1446">
        <f>IF(selection!H1443=1,selection!M1443,NA())</f>
        <v/>
      </c>
      <c r="V1446">
        <f>IF(selection!H1443=1,selection!N1443,NA())</f>
        <v/>
      </c>
      <c r="W1446">
        <f>IF(selection!H1443=0,selection!M1443,NA())</f>
        <v/>
      </c>
      <c r="X1446">
        <f>IF(selection!H1443=0,selection!N1443,NA())</f>
        <v/>
      </c>
    </row>
    <row r="1447">
      <c r="U1447">
        <f>IF(selection!H1444=1,selection!M1444,NA())</f>
        <v/>
      </c>
      <c r="V1447">
        <f>IF(selection!H1444=1,selection!N1444,NA())</f>
        <v/>
      </c>
      <c r="W1447">
        <f>IF(selection!H1444=0,selection!M1444,NA())</f>
        <v/>
      </c>
      <c r="X1447">
        <f>IF(selection!H1444=0,selection!N1444,NA())</f>
        <v/>
      </c>
    </row>
    <row r="1448">
      <c r="U1448">
        <f>IF(selection!H1445=1,selection!M1445,NA())</f>
        <v/>
      </c>
      <c r="V1448">
        <f>IF(selection!H1445=1,selection!N1445,NA())</f>
        <v/>
      </c>
      <c r="W1448">
        <f>IF(selection!H1445=0,selection!M1445,NA())</f>
        <v/>
      </c>
      <c r="X1448">
        <f>IF(selection!H1445=0,selection!N1445,NA())</f>
        <v/>
      </c>
    </row>
    <row r="1449">
      <c r="U1449">
        <f>IF(selection!H1446=1,selection!M1446,NA())</f>
        <v/>
      </c>
      <c r="V1449">
        <f>IF(selection!H1446=1,selection!N1446,NA())</f>
        <v/>
      </c>
      <c r="W1449">
        <f>IF(selection!H1446=0,selection!M1446,NA())</f>
        <v/>
      </c>
      <c r="X1449">
        <f>IF(selection!H1446=0,selection!N1446,NA())</f>
        <v/>
      </c>
    </row>
    <row r="1450">
      <c r="U1450">
        <f>IF(selection!H1447=1,selection!M1447,NA())</f>
        <v/>
      </c>
      <c r="V1450">
        <f>IF(selection!H1447=1,selection!N1447,NA())</f>
        <v/>
      </c>
      <c r="W1450">
        <f>IF(selection!H1447=0,selection!M1447,NA())</f>
        <v/>
      </c>
      <c r="X1450">
        <f>IF(selection!H1447=0,selection!N1447,NA())</f>
        <v/>
      </c>
    </row>
    <row r="1451">
      <c r="U1451">
        <f>IF(selection!H1448=1,selection!M1448,NA())</f>
        <v/>
      </c>
      <c r="V1451">
        <f>IF(selection!H1448=1,selection!N1448,NA())</f>
        <v/>
      </c>
      <c r="W1451">
        <f>IF(selection!H1448=0,selection!M1448,NA())</f>
        <v/>
      </c>
      <c r="X1451">
        <f>IF(selection!H1448=0,selection!N1448,NA())</f>
        <v/>
      </c>
    </row>
    <row r="1452">
      <c r="U1452">
        <f>IF(selection!H1449=1,selection!M1449,NA())</f>
        <v/>
      </c>
      <c r="V1452">
        <f>IF(selection!H1449=1,selection!N1449,NA())</f>
        <v/>
      </c>
      <c r="W1452">
        <f>IF(selection!H1449=0,selection!M1449,NA())</f>
        <v/>
      </c>
      <c r="X1452">
        <f>IF(selection!H1449=0,selection!N1449,NA())</f>
        <v/>
      </c>
    </row>
    <row r="1453">
      <c r="U1453">
        <f>IF(selection!H1450=1,selection!M1450,NA())</f>
        <v/>
      </c>
      <c r="V1453">
        <f>IF(selection!H1450=1,selection!N1450,NA())</f>
        <v/>
      </c>
      <c r="W1453">
        <f>IF(selection!H1450=0,selection!M1450,NA())</f>
        <v/>
      </c>
      <c r="X1453">
        <f>IF(selection!H1450=0,selection!N1450,NA())</f>
        <v/>
      </c>
    </row>
    <row r="1454">
      <c r="U1454">
        <f>IF(selection!H1451=1,selection!M1451,NA())</f>
        <v/>
      </c>
      <c r="V1454">
        <f>IF(selection!H1451=1,selection!N1451,NA())</f>
        <v/>
      </c>
      <c r="W1454">
        <f>IF(selection!H1451=0,selection!M1451,NA())</f>
        <v/>
      </c>
      <c r="X1454">
        <f>IF(selection!H1451=0,selection!N1451,NA())</f>
        <v/>
      </c>
    </row>
    <row r="1455">
      <c r="U1455">
        <f>IF(selection!H1452=1,selection!M1452,NA())</f>
        <v/>
      </c>
      <c r="V1455">
        <f>IF(selection!H1452=1,selection!N1452,NA())</f>
        <v/>
      </c>
      <c r="W1455">
        <f>IF(selection!H1452=0,selection!M1452,NA())</f>
        <v/>
      </c>
      <c r="X1455">
        <f>IF(selection!H1452=0,selection!N1452,NA())</f>
        <v/>
      </c>
    </row>
    <row r="1456">
      <c r="U1456">
        <f>IF(selection!H1453=1,selection!M1453,NA())</f>
        <v/>
      </c>
      <c r="V1456">
        <f>IF(selection!H1453=1,selection!N1453,NA())</f>
        <v/>
      </c>
      <c r="W1456">
        <f>IF(selection!H1453=0,selection!M1453,NA())</f>
        <v/>
      </c>
      <c r="X1456">
        <f>IF(selection!H1453=0,selection!N1453,NA())</f>
        <v/>
      </c>
    </row>
    <row r="1457">
      <c r="U1457">
        <f>IF(selection!H1454=1,selection!M1454,NA())</f>
        <v/>
      </c>
      <c r="V1457">
        <f>IF(selection!H1454=1,selection!N1454,NA())</f>
        <v/>
      </c>
      <c r="W1457">
        <f>IF(selection!H1454=0,selection!M1454,NA())</f>
        <v/>
      </c>
      <c r="X1457">
        <f>IF(selection!H1454=0,selection!N1454,NA())</f>
        <v/>
      </c>
    </row>
    <row r="1458">
      <c r="U1458">
        <f>IF(selection!H1455=1,selection!M1455,NA())</f>
        <v/>
      </c>
      <c r="V1458">
        <f>IF(selection!H1455=1,selection!N1455,NA())</f>
        <v/>
      </c>
      <c r="W1458">
        <f>IF(selection!H1455=0,selection!M1455,NA())</f>
        <v/>
      </c>
      <c r="X1458">
        <f>IF(selection!H1455=0,selection!N1455,NA())</f>
        <v/>
      </c>
    </row>
    <row r="1459">
      <c r="U1459">
        <f>IF(selection!H1456=1,selection!M1456,NA())</f>
        <v/>
      </c>
      <c r="V1459">
        <f>IF(selection!H1456=1,selection!N1456,NA())</f>
        <v/>
      </c>
      <c r="W1459">
        <f>IF(selection!H1456=0,selection!M1456,NA())</f>
        <v/>
      </c>
      <c r="X1459">
        <f>IF(selection!H1456=0,selection!N1456,NA())</f>
        <v/>
      </c>
    </row>
    <row r="1460">
      <c r="U1460">
        <f>IF(selection!H1457=1,selection!M1457,NA())</f>
        <v/>
      </c>
      <c r="V1460">
        <f>IF(selection!H1457=1,selection!N1457,NA())</f>
        <v/>
      </c>
      <c r="W1460">
        <f>IF(selection!H1457=0,selection!M1457,NA())</f>
        <v/>
      </c>
      <c r="X1460">
        <f>IF(selection!H1457=0,selection!N1457,NA())</f>
        <v/>
      </c>
    </row>
    <row r="1461">
      <c r="U1461">
        <f>IF(selection!H1458=1,selection!M1458,NA())</f>
        <v/>
      </c>
      <c r="V1461">
        <f>IF(selection!H1458=1,selection!N1458,NA())</f>
        <v/>
      </c>
      <c r="W1461">
        <f>IF(selection!H1458=0,selection!M1458,NA())</f>
        <v/>
      </c>
      <c r="X1461">
        <f>IF(selection!H1458=0,selection!N1458,NA())</f>
        <v/>
      </c>
    </row>
    <row r="1462">
      <c r="U1462">
        <f>IF(selection!H1459=1,selection!M1459,NA())</f>
        <v/>
      </c>
      <c r="V1462">
        <f>IF(selection!H1459=1,selection!N1459,NA())</f>
        <v/>
      </c>
      <c r="W1462">
        <f>IF(selection!H1459=0,selection!M1459,NA())</f>
        <v/>
      </c>
      <c r="X1462">
        <f>IF(selection!H1459=0,selection!N1459,NA())</f>
        <v/>
      </c>
    </row>
    <row r="1463">
      <c r="U1463">
        <f>IF(selection!H1460=1,selection!M1460,NA())</f>
        <v/>
      </c>
      <c r="V1463">
        <f>IF(selection!H1460=1,selection!N1460,NA())</f>
        <v/>
      </c>
      <c r="W1463">
        <f>IF(selection!H1460=0,selection!M1460,NA())</f>
        <v/>
      </c>
      <c r="X1463">
        <f>IF(selection!H1460=0,selection!N1460,NA())</f>
        <v/>
      </c>
    </row>
    <row r="1464">
      <c r="U1464">
        <f>IF(selection!H1461=1,selection!M1461,NA())</f>
        <v/>
      </c>
      <c r="V1464">
        <f>IF(selection!H1461=1,selection!N1461,NA())</f>
        <v/>
      </c>
      <c r="W1464">
        <f>IF(selection!H1461=0,selection!M1461,NA())</f>
        <v/>
      </c>
      <c r="X1464">
        <f>IF(selection!H1461=0,selection!N1461,NA())</f>
        <v/>
      </c>
    </row>
    <row r="1465">
      <c r="U1465">
        <f>IF(selection!H1462=1,selection!M1462,NA())</f>
        <v/>
      </c>
      <c r="V1465">
        <f>IF(selection!H1462=1,selection!N1462,NA())</f>
        <v/>
      </c>
      <c r="W1465">
        <f>IF(selection!H1462=0,selection!M1462,NA())</f>
        <v/>
      </c>
      <c r="X1465">
        <f>IF(selection!H1462=0,selection!N1462,NA())</f>
        <v/>
      </c>
    </row>
    <row r="1466">
      <c r="U1466">
        <f>IF(selection!H1463=1,selection!M1463,NA())</f>
        <v/>
      </c>
      <c r="V1466">
        <f>IF(selection!H1463=1,selection!N1463,NA())</f>
        <v/>
      </c>
      <c r="W1466">
        <f>IF(selection!H1463=0,selection!M1463,NA())</f>
        <v/>
      </c>
      <c r="X1466">
        <f>IF(selection!H1463=0,selection!N1463,NA())</f>
        <v/>
      </c>
    </row>
    <row r="1467">
      <c r="U1467">
        <f>IF(selection!H1464=1,selection!M1464,NA())</f>
        <v/>
      </c>
      <c r="V1467">
        <f>IF(selection!H1464=1,selection!N1464,NA())</f>
        <v/>
      </c>
      <c r="W1467">
        <f>IF(selection!H1464=0,selection!M1464,NA())</f>
        <v/>
      </c>
      <c r="X1467">
        <f>IF(selection!H1464=0,selection!N1464,NA())</f>
        <v/>
      </c>
    </row>
    <row r="1468">
      <c r="U1468">
        <f>IF(selection!H1465=1,selection!M1465,NA())</f>
        <v/>
      </c>
      <c r="V1468">
        <f>IF(selection!H1465=1,selection!N1465,NA())</f>
        <v/>
      </c>
      <c r="W1468">
        <f>IF(selection!H1465=0,selection!M1465,NA())</f>
        <v/>
      </c>
      <c r="X1468">
        <f>IF(selection!H1465=0,selection!N1465,NA())</f>
        <v/>
      </c>
    </row>
    <row r="1469">
      <c r="U1469">
        <f>IF(selection!H1466=1,selection!M1466,NA())</f>
        <v/>
      </c>
      <c r="V1469">
        <f>IF(selection!H1466=1,selection!N1466,NA())</f>
        <v/>
      </c>
      <c r="W1469">
        <f>IF(selection!H1466=0,selection!M1466,NA())</f>
        <v/>
      </c>
      <c r="X1469">
        <f>IF(selection!H1466=0,selection!N1466,NA())</f>
        <v/>
      </c>
    </row>
    <row r="1470">
      <c r="U1470">
        <f>IF(selection!H1467=1,selection!M1467,NA())</f>
        <v/>
      </c>
      <c r="V1470">
        <f>IF(selection!H1467=1,selection!N1467,NA())</f>
        <v/>
      </c>
      <c r="W1470">
        <f>IF(selection!H1467=0,selection!M1467,NA())</f>
        <v/>
      </c>
      <c r="X1470">
        <f>IF(selection!H1467=0,selection!N1467,NA())</f>
        <v/>
      </c>
    </row>
    <row r="1471">
      <c r="U1471">
        <f>IF(selection!H1468=1,selection!M1468,NA())</f>
        <v/>
      </c>
      <c r="V1471">
        <f>IF(selection!H1468=1,selection!N1468,NA())</f>
        <v/>
      </c>
      <c r="W1471">
        <f>IF(selection!H1468=0,selection!M1468,NA())</f>
        <v/>
      </c>
      <c r="X1471">
        <f>IF(selection!H1468=0,selection!N1468,NA())</f>
        <v/>
      </c>
    </row>
    <row r="1472">
      <c r="U1472">
        <f>IF(selection!H1469=1,selection!M1469,NA())</f>
        <v/>
      </c>
      <c r="V1472">
        <f>IF(selection!H1469=1,selection!N1469,NA())</f>
        <v/>
      </c>
      <c r="W1472">
        <f>IF(selection!H1469=0,selection!M1469,NA())</f>
        <v/>
      </c>
      <c r="X1472">
        <f>IF(selection!H1469=0,selection!N1469,NA())</f>
        <v/>
      </c>
    </row>
    <row r="1473">
      <c r="U1473">
        <f>IF(selection!H1470=1,selection!M1470,NA())</f>
        <v/>
      </c>
      <c r="V1473">
        <f>IF(selection!H1470=1,selection!N1470,NA())</f>
        <v/>
      </c>
      <c r="W1473">
        <f>IF(selection!H1470=0,selection!M1470,NA())</f>
        <v/>
      </c>
      <c r="X1473">
        <f>IF(selection!H1470=0,selection!N1470,NA())</f>
        <v/>
      </c>
    </row>
    <row r="1474">
      <c r="U1474">
        <f>IF(selection!H1471=1,selection!M1471,NA())</f>
        <v/>
      </c>
      <c r="V1474">
        <f>IF(selection!H1471=1,selection!N1471,NA())</f>
        <v/>
      </c>
      <c r="W1474">
        <f>IF(selection!H1471=0,selection!M1471,NA())</f>
        <v/>
      </c>
      <c r="X1474">
        <f>IF(selection!H1471=0,selection!N1471,NA())</f>
        <v/>
      </c>
    </row>
    <row r="1475">
      <c r="U1475">
        <f>IF(selection!H1472=1,selection!M1472,NA())</f>
        <v/>
      </c>
      <c r="V1475">
        <f>IF(selection!H1472=1,selection!N1472,NA())</f>
        <v/>
      </c>
      <c r="W1475">
        <f>IF(selection!H1472=0,selection!M1472,NA())</f>
        <v/>
      </c>
      <c r="X1475">
        <f>IF(selection!H1472=0,selection!N1472,NA())</f>
        <v/>
      </c>
    </row>
    <row r="1476">
      <c r="U1476">
        <f>IF(selection!H1473=1,selection!M1473,NA())</f>
        <v/>
      </c>
      <c r="V1476">
        <f>IF(selection!H1473=1,selection!N1473,NA())</f>
        <v/>
      </c>
      <c r="W1476">
        <f>IF(selection!H1473=0,selection!M1473,NA())</f>
        <v/>
      </c>
      <c r="X1476">
        <f>IF(selection!H1473=0,selection!N1473,NA())</f>
        <v/>
      </c>
    </row>
    <row r="1477">
      <c r="U1477">
        <f>IF(selection!H1474=1,selection!M1474,NA())</f>
        <v/>
      </c>
      <c r="V1477">
        <f>IF(selection!H1474=1,selection!N1474,NA())</f>
        <v/>
      </c>
      <c r="W1477">
        <f>IF(selection!H1474=0,selection!M1474,NA())</f>
        <v/>
      </c>
      <c r="X1477">
        <f>IF(selection!H1474=0,selection!N1474,NA())</f>
        <v/>
      </c>
    </row>
    <row r="1478">
      <c r="U1478">
        <f>IF(selection!H1475=1,selection!M1475,NA())</f>
        <v/>
      </c>
      <c r="V1478">
        <f>IF(selection!H1475=1,selection!N1475,NA())</f>
        <v/>
      </c>
      <c r="W1478">
        <f>IF(selection!H1475=0,selection!M1475,NA())</f>
        <v/>
      </c>
      <c r="X1478">
        <f>IF(selection!H1475=0,selection!N1475,NA())</f>
        <v/>
      </c>
    </row>
    <row r="1479">
      <c r="U1479">
        <f>IF(selection!H1476=1,selection!M1476,NA())</f>
        <v/>
      </c>
      <c r="V1479">
        <f>IF(selection!H1476=1,selection!N1476,NA())</f>
        <v/>
      </c>
      <c r="W1479">
        <f>IF(selection!H1476=0,selection!M1476,NA())</f>
        <v/>
      </c>
      <c r="X1479">
        <f>IF(selection!H1476=0,selection!N1476,NA())</f>
        <v/>
      </c>
    </row>
    <row r="1480">
      <c r="U1480">
        <f>IF(selection!H1477=1,selection!M1477,NA())</f>
        <v/>
      </c>
      <c r="V1480">
        <f>IF(selection!H1477=1,selection!N1477,NA())</f>
        <v/>
      </c>
      <c r="W1480">
        <f>IF(selection!H1477=0,selection!M1477,NA())</f>
        <v/>
      </c>
      <c r="X1480">
        <f>IF(selection!H1477=0,selection!N1477,NA())</f>
        <v/>
      </c>
    </row>
    <row r="1481">
      <c r="U1481">
        <f>IF(selection!H1478=1,selection!M1478,NA())</f>
        <v/>
      </c>
      <c r="V1481">
        <f>IF(selection!H1478=1,selection!N1478,NA())</f>
        <v/>
      </c>
      <c r="W1481">
        <f>IF(selection!H1478=0,selection!M1478,NA())</f>
        <v/>
      </c>
      <c r="X1481">
        <f>IF(selection!H1478=0,selection!N1478,NA())</f>
        <v/>
      </c>
    </row>
    <row r="1482">
      <c r="U1482">
        <f>IF(selection!H1479=1,selection!M1479,NA())</f>
        <v/>
      </c>
      <c r="V1482">
        <f>IF(selection!H1479=1,selection!N1479,NA())</f>
        <v/>
      </c>
      <c r="W1482">
        <f>IF(selection!H1479=0,selection!M1479,NA())</f>
        <v/>
      </c>
      <c r="X1482">
        <f>IF(selection!H1479=0,selection!N1479,NA())</f>
        <v/>
      </c>
    </row>
    <row r="1483">
      <c r="U1483">
        <f>IF(selection!H1480=1,selection!M1480,NA())</f>
        <v/>
      </c>
      <c r="V1483">
        <f>IF(selection!H1480=1,selection!N1480,NA())</f>
        <v/>
      </c>
      <c r="W1483">
        <f>IF(selection!H1480=0,selection!M1480,NA())</f>
        <v/>
      </c>
      <c r="X1483">
        <f>IF(selection!H1480=0,selection!N1480,NA())</f>
        <v/>
      </c>
    </row>
    <row r="1484">
      <c r="U1484">
        <f>IF(selection!H1481=1,selection!M1481,NA())</f>
        <v/>
      </c>
      <c r="V1484">
        <f>IF(selection!H1481=1,selection!N1481,NA())</f>
        <v/>
      </c>
      <c r="W1484">
        <f>IF(selection!H1481=0,selection!M1481,NA())</f>
        <v/>
      </c>
      <c r="X1484">
        <f>IF(selection!H1481=0,selection!N1481,NA())</f>
        <v/>
      </c>
    </row>
    <row r="1485">
      <c r="U1485">
        <f>IF(selection!H1482=1,selection!M1482,NA())</f>
        <v/>
      </c>
      <c r="V1485">
        <f>IF(selection!H1482=1,selection!N1482,NA())</f>
        <v/>
      </c>
      <c r="W1485">
        <f>IF(selection!H1482=0,selection!M1482,NA())</f>
        <v/>
      </c>
      <c r="X1485">
        <f>IF(selection!H1482=0,selection!N1482,NA())</f>
        <v/>
      </c>
    </row>
    <row r="1486">
      <c r="U1486">
        <f>IF(selection!H1483=1,selection!M1483,NA())</f>
        <v/>
      </c>
      <c r="V1486">
        <f>IF(selection!H1483=1,selection!N1483,NA())</f>
        <v/>
      </c>
      <c r="W1486">
        <f>IF(selection!H1483=0,selection!M1483,NA())</f>
        <v/>
      </c>
      <c r="X1486">
        <f>IF(selection!H1483=0,selection!N1483,NA())</f>
        <v/>
      </c>
    </row>
    <row r="1487">
      <c r="U1487">
        <f>IF(selection!H1484=1,selection!M1484,NA())</f>
        <v/>
      </c>
      <c r="V1487">
        <f>IF(selection!H1484=1,selection!N1484,NA())</f>
        <v/>
      </c>
      <c r="W1487">
        <f>IF(selection!H1484=0,selection!M1484,NA())</f>
        <v/>
      </c>
      <c r="X1487">
        <f>IF(selection!H1484=0,selection!N1484,NA())</f>
        <v/>
      </c>
    </row>
    <row r="1488">
      <c r="U1488">
        <f>IF(selection!H1485=1,selection!M1485,NA())</f>
        <v/>
      </c>
      <c r="V1488">
        <f>IF(selection!H1485=1,selection!N1485,NA())</f>
        <v/>
      </c>
      <c r="W1488">
        <f>IF(selection!H1485=0,selection!M1485,NA())</f>
        <v/>
      </c>
      <c r="X1488">
        <f>IF(selection!H1485=0,selection!N1485,NA())</f>
        <v/>
      </c>
    </row>
    <row r="1489">
      <c r="U1489">
        <f>IF(selection!H1486=1,selection!M1486,NA())</f>
        <v/>
      </c>
      <c r="V1489">
        <f>IF(selection!H1486=1,selection!N1486,NA())</f>
        <v/>
      </c>
      <c r="W1489">
        <f>IF(selection!H1486=0,selection!M1486,NA())</f>
        <v/>
      </c>
      <c r="X1489">
        <f>IF(selection!H1486=0,selection!N1486,NA())</f>
        <v/>
      </c>
    </row>
    <row r="1490">
      <c r="U1490">
        <f>IF(selection!H1487=1,selection!M1487,NA())</f>
        <v/>
      </c>
      <c r="V1490">
        <f>IF(selection!H1487=1,selection!N1487,NA())</f>
        <v/>
      </c>
      <c r="W1490">
        <f>IF(selection!H1487=0,selection!M1487,NA())</f>
        <v/>
      </c>
      <c r="X1490">
        <f>IF(selection!H1487=0,selection!N1487,NA())</f>
        <v/>
      </c>
    </row>
    <row r="1491">
      <c r="U1491">
        <f>IF(selection!H1488=1,selection!M1488,NA())</f>
        <v/>
      </c>
      <c r="V1491">
        <f>IF(selection!H1488=1,selection!N1488,NA())</f>
        <v/>
      </c>
      <c r="W1491">
        <f>IF(selection!H1488=0,selection!M1488,NA())</f>
        <v/>
      </c>
      <c r="X1491">
        <f>IF(selection!H1488=0,selection!N1488,NA())</f>
        <v/>
      </c>
    </row>
    <row r="1492">
      <c r="U1492">
        <f>IF(selection!H1489=1,selection!M1489,NA())</f>
        <v/>
      </c>
      <c r="V1492">
        <f>IF(selection!H1489=1,selection!N1489,NA())</f>
        <v/>
      </c>
      <c r="W1492">
        <f>IF(selection!H1489=0,selection!M1489,NA())</f>
        <v/>
      </c>
      <c r="X1492">
        <f>IF(selection!H1489=0,selection!N1489,NA())</f>
        <v/>
      </c>
    </row>
    <row r="1493">
      <c r="U1493">
        <f>IF(selection!H1490=1,selection!M1490,NA())</f>
        <v/>
      </c>
      <c r="V1493">
        <f>IF(selection!H1490=1,selection!N1490,NA())</f>
        <v/>
      </c>
      <c r="W1493">
        <f>IF(selection!H1490=0,selection!M1490,NA())</f>
        <v/>
      </c>
      <c r="X1493">
        <f>IF(selection!H1490=0,selection!N1490,NA())</f>
        <v/>
      </c>
    </row>
    <row r="1494">
      <c r="U1494">
        <f>IF(selection!H1491=1,selection!M1491,NA())</f>
        <v/>
      </c>
      <c r="V1494">
        <f>IF(selection!H1491=1,selection!N1491,NA())</f>
        <v/>
      </c>
      <c r="W1494">
        <f>IF(selection!H1491=0,selection!M1491,NA())</f>
        <v/>
      </c>
      <c r="X1494">
        <f>IF(selection!H1491=0,selection!N1491,NA())</f>
        <v/>
      </c>
    </row>
    <row r="1495">
      <c r="U1495">
        <f>IF(selection!H1492=1,selection!M1492,NA())</f>
        <v/>
      </c>
      <c r="V1495">
        <f>IF(selection!H1492=1,selection!N1492,NA())</f>
        <v/>
      </c>
      <c r="W1495">
        <f>IF(selection!H1492=0,selection!M1492,NA())</f>
        <v/>
      </c>
      <c r="X1495">
        <f>IF(selection!H1492=0,selection!N1492,NA())</f>
        <v/>
      </c>
    </row>
    <row r="1496">
      <c r="U1496">
        <f>IF(selection!H1493=1,selection!M1493,NA())</f>
        <v/>
      </c>
      <c r="V1496">
        <f>IF(selection!H1493=1,selection!N1493,NA())</f>
        <v/>
      </c>
      <c r="W1496">
        <f>IF(selection!H1493=0,selection!M1493,NA())</f>
        <v/>
      </c>
      <c r="X1496">
        <f>IF(selection!H1493=0,selection!N1493,NA())</f>
        <v/>
      </c>
    </row>
    <row r="1497">
      <c r="U1497">
        <f>IF(selection!H1494=1,selection!M1494,NA())</f>
        <v/>
      </c>
      <c r="V1497">
        <f>IF(selection!H1494=1,selection!N1494,NA())</f>
        <v/>
      </c>
      <c r="W1497">
        <f>IF(selection!H1494=0,selection!M1494,NA())</f>
        <v/>
      </c>
      <c r="X1497">
        <f>IF(selection!H1494=0,selection!N1494,NA())</f>
        <v/>
      </c>
    </row>
    <row r="1498">
      <c r="U1498">
        <f>IF(selection!H1495=1,selection!M1495,NA())</f>
        <v/>
      </c>
      <c r="V1498">
        <f>IF(selection!H1495=1,selection!N1495,NA())</f>
        <v/>
      </c>
      <c r="W1498">
        <f>IF(selection!H1495=0,selection!M1495,NA())</f>
        <v/>
      </c>
      <c r="X1498">
        <f>IF(selection!H1495=0,selection!N1495,NA())</f>
        <v/>
      </c>
    </row>
    <row r="1499">
      <c r="U1499">
        <f>IF(selection!H1496=1,selection!M1496,NA())</f>
        <v/>
      </c>
      <c r="V1499">
        <f>IF(selection!H1496=1,selection!N1496,NA())</f>
        <v/>
      </c>
      <c r="W1499">
        <f>IF(selection!H1496=0,selection!M1496,NA())</f>
        <v/>
      </c>
      <c r="X1499">
        <f>IF(selection!H1496=0,selection!N1496,NA())</f>
        <v/>
      </c>
    </row>
    <row r="1500">
      <c r="U1500">
        <f>IF(selection!H1497=1,selection!M1497,NA())</f>
        <v/>
      </c>
      <c r="V1500">
        <f>IF(selection!H1497=1,selection!N1497,NA())</f>
        <v/>
      </c>
      <c r="W1500">
        <f>IF(selection!H1497=0,selection!M1497,NA())</f>
        <v/>
      </c>
      <c r="X1500">
        <f>IF(selection!H1497=0,selection!N1497,NA())</f>
        <v/>
      </c>
    </row>
    <row r="1501">
      <c r="U1501">
        <f>IF(selection!H1498=1,selection!M1498,NA())</f>
        <v/>
      </c>
      <c r="V1501">
        <f>IF(selection!H1498=1,selection!N1498,NA())</f>
        <v/>
      </c>
      <c r="W1501">
        <f>IF(selection!H1498=0,selection!M1498,NA())</f>
        <v/>
      </c>
      <c r="X1501">
        <f>IF(selection!H1498=0,selection!N1498,NA())</f>
        <v/>
      </c>
    </row>
    <row r="1502">
      <c r="U1502">
        <f>IF(selection!H1499=1,selection!M1499,NA())</f>
        <v/>
      </c>
      <c r="V1502">
        <f>IF(selection!H1499=1,selection!N1499,NA())</f>
        <v/>
      </c>
      <c r="W1502">
        <f>IF(selection!H1499=0,selection!M1499,NA())</f>
        <v/>
      </c>
      <c r="X1502">
        <f>IF(selection!H1499=0,selection!N1499,NA())</f>
        <v/>
      </c>
    </row>
    <row r="1503">
      <c r="U1503">
        <f>IF(selection!H1500=1,selection!M1500,NA())</f>
        <v/>
      </c>
      <c r="V1503">
        <f>IF(selection!H1500=1,selection!N1500,NA())</f>
        <v/>
      </c>
      <c r="W1503">
        <f>IF(selection!H1500=0,selection!M1500,NA())</f>
        <v/>
      </c>
      <c r="X1503">
        <f>IF(selection!H1500=0,selection!N1500,NA())</f>
        <v/>
      </c>
    </row>
    <row r="1504">
      <c r="U1504">
        <f>IF(selection!H1501=1,selection!M1501,NA())</f>
        <v/>
      </c>
      <c r="V1504">
        <f>IF(selection!H1501=1,selection!N1501,NA())</f>
        <v/>
      </c>
      <c r="W1504">
        <f>IF(selection!H1501=0,selection!M1501,NA())</f>
        <v/>
      </c>
      <c r="X1504">
        <f>IF(selection!H1501=0,selection!N1501,NA())</f>
        <v/>
      </c>
    </row>
    <row r="1505">
      <c r="U1505">
        <f>IF(selection!H1502=1,selection!M1502,NA())</f>
        <v/>
      </c>
      <c r="V1505">
        <f>IF(selection!H1502=1,selection!N1502,NA())</f>
        <v/>
      </c>
      <c r="W1505">
        <f>IF(selection!H1502=0,selection!M1502,NA())</f>
        <v/>
      </c>
      <c r="X1505">
        <f>IF(selection!H1502=0,selection!N1502,NA())</f>
        <v/>
      </c>
    </row>
    <row r="1506">
      <c r="U1506">
        <f>IF(selection!H1503=1,selection!M1503,NA())</f>
        <v/>
      </c>
      <c r="V1506">
        <f>IF(selection!H1503=1,selection!N1503,NA())</f>
        <v/>
      </c>
      <c r="W1506">
        <f>IF(selection!H1503=0,selection!M1503,NA())</f>
        <v/>
      </c>
      <c r="X1506">
        <f>IF(selection!H1503=0,selection!N1503,NA())</f>
        <v/>
      </c>
    </row>
    <row r="1507">
      <c r="U1507">
        <f>IF(selection!H1504=1,selection!M1504,NA())</f>
        <v/>
      </c>
      <c r="V1507">
        <f>IF(selection!H1504=1,selection!N1504,NA())</f>
        <v/>
      </c>
      <c r="W1507">
        <f>IF(selection!H1504=0,selection!M1504,NA())</f>
        <v/>
      </c>
      <c r="X1507">
        <f>IF(selection!H1504=0,selection!N1504,NA())</f>
        <v/>
      </c>
    </row>
    <row r="1508">
      <c r="U1508">
        <f>IF(selection!H1505=1,selection!M1505,NA())</f>
        <v/>
      </c>
      <c r="V1508">
        <f>IF(selection!H1505=1,selection!N1505,NA())</f>
        <v/>
      </c>
      <c r="W1508">
        <f>IF(selection!H1505=0,selection!M1505,NA())</f>
        <v/>
      </c>
      <c r="X1508">
        <f>IF(selection!H1505=0,selection!N1505,NA())</f>
        <v/>
      </c>
    </row>
    <row r="1509">
      <c r="U1509">
        <f>IF(selection!H1506=1,selection!M1506,NA())</f>
        <v/>
      </c>
      <c r="V1509">
        <f>IF(selection!H1506=1,selection!N1506,NA())</f>
        <v/>
      </c>
      <c r="W1509">
        <f>IF(selection!H1506=0,selection!M1506,NA())</f>
        <v/>
      </c>
      <c r="X1509">
        <f>IF(selection!H1506=0,selection!N1506,NA())</f>
        <v/>
      </c>
    </row>
    <row r="1510">
      <c r="U1510">
        <f>IF(selection!H1507=1,selection!M1507,NA())</f>
        <v/>
      </c>
      <c r="V1510">
        <f>IF(selection!H1507=1,selection!N1507,NA())</f>
        <v/>
      </c>
      <c r="W1510">
        <f>IF(selection!H1507=0,selection!M1507,NA())</f>
        <v/>
      </c>
      <c r="X1510">
        <f>IF(selection!H1507=0,selection!N1507,NA())</f>
        <v/>
      </c>
    </row>
    <row r="1511">
      <c r="U1511">
        <f>IF(selection!H1508=1,selection!M1508,NA())</f>
        <v/>
      </c>
      <c r="V1511">
        <f>IF(selection!H1508=1,selection!N1508,NA())</f>
        <v/>
      </c>
      <c r="W1511">
        <f>IF(selection!H1508=0,selection!M1508,NA())</f>
        <v/>
      </c>
      <c r="X1511">
        <f>IF(selection!H1508=0,selection!N1508,NA())</f>
        <v/>
      </c>
    </row>
    <row r="1512">
      <c r="U1512">
        <f>IF(selection!H1509=1,selection!M1509,NA())</f>
        <v/>
      </c>
      <c r="V1512">
        <f>IF(selection!H1509=1,selection!N1509,NA())</f>
        <v/>
      </c>
      <c r="W1512">
        <f>IF(selection!H1509=0,selection!M1509,NA())</f>
        <v/>
      </c>
      <c r="X1512">
        <f>IF(selection!H1509=0,selection!N1509,NA())</f>
        <v/>
      </c>
    </row>
    <row r="1513">
      <c r="U1513">
        <f>IF(selection!H1510=1,selection!M1510,NA())</f>
        <v/>
      </c>
      <c r="V1513">
        <f>IF(selection!H1510=1,selection!N1510,NA())</f>
        <v/>
      </c>
      <c r="W1513">
        <f>IF(selection!H1510=0,selection!M1510,NA())</f>
        <v/>
      </c>
      <c r="X1513">
        <f>IF(selection!H1510=0,selection!N1510,NA())</f>
        <v/>
      </c>
    </row>
    <row r="1514">
      <c r="U1514">
        <f>IF(selection!H1511=1,selection!M1511,NA())</f>
        <v/>
      </c>
      <c r="V1514">
        <f>IF(selection!H1511=1,selection!N1511,NA())</f>
        <v/>
      </c>
      <c r="W1514">
        <f>IF(selection!H1511=0,selection!M1511,NA())</f>
        <v/>
      </c>
      <c r="X1514">
        <f>IF(selection!H1511=0,selection!N1511,NA())</f>
        <v/>
      </c>
    </row>
    <row r="1515">
      <c r="U1515">
        <f>IF(selection!H1512=1,selection!M1512,NA())</f>
        <v/>
      </c>
      <c r="V1515">
        <f>IF(selection!H1512=1,selection!N1512,NA())</f>
        <v/>
      </c>
      <c r="W1515">
        <f>IF(selection!H1512=0,selection!M1512,NA())</f>
        <v/>
      </c>
      <c r="X1515">
        <f>IF(selection!H1512=0,selection!N1512,NA())</f>
        <v/>
      </c>
    </row>
    <row r="1516">
      <c r="U1516">
        <f>IF(selection!H1513=1,selection!M1513,NA())</f>
        <v/>
      </c>
      <c r="V1516">
        <f>IF(selection!H1513=1,selection!N1513,NA())</f>
        <v/>
      </c>
      <c r="W1516">
        <f>IF(selection!H1513=0,selection!M1513,NA())</f>
        <v/>
      </c>
      <c r="X1516">
        <f>IF(selection!H1513=0,selection!N1513,NA())</f>
        <v/>
      </c>
    </row>
    <row r="1517">
      <c r="U1517">
        <f>IF(selection!H1514=1,selection!M1514,NA())</f>
        <v/>
      </c>
      <c r="V1517">
        <f>IF(selection!H1514=1,selection!N1514,NA())</f>
        <v/>
      </c>
      <c r="W1517">
        <f>IF(selection!H1514=0,selection!M1514,NA())</f>
        <v/>
      </c>
      <c r="X1517">
        <f>IF(selection!H1514=0,selection!N1514,NA())</f>
        <v/>
      </c>
    </row>
    <row r="1518">
      <c r="U1518">
        <f>IF(selection!H1515=1,selection!M1515,NA())</f>
        <v/>
      </c>
      <c r="V1518">
        <f>IF(selection!H1515=1,selection!N1515,NA())</f>
        <v/>
      </c>
      <c r="W1518">
        <f>IF(selection!H1515=0,selection!M1515,NA())</f>
        <v/>
      </c>
      <c r="X1518">
        <f>IF(selection!H1515=0,selection!N1515,NA())</f>
        <v/>
      </c>
    </row>
    <row r="1519">
      <c r="U1519">
        <f>IF(selection!H1516=1,selection!M1516,NA())</f>
        <v/>
      </c>
      <c r="V1519">
        <f>IF(selection!H1516=1,selection!N1516,NA())</f>
        <v/>
      </c>
      <c r="W1519">
        <f>IF(selection!H1516=0,selection!M1516,NA())</f>
        <v/>
      </c>
      <c r="X1519">
        <f>IF(selection!H1516=0,selection!N1516,NA())</f>
        <v/>
      </c>
    </row>
    <row r="1520">
      <c r="U1520">
        <f>IF(selection!H1517=1,selection!M1517,NA())</f>
        <v/>
      </c>
      <c r="V1520">
        <f>IF(selection!H1517=1,selection!N1517,NA())</f>
        <v/>
      </c>
      <c r="W1520">
        <f>IF(selection!H1517=0,selection!M1517,NA())</f>
        <v/>
      </c>
      <c r="X1520">
        <f>IF(selection!H1517=0,selection!N1517,NA())</f>
        <v/>
      </c>
    </row>
    <row r="1521">
      <c r="U1521">
        <f>IF(selection!H1518=1,selection!M1518,NA())</f>
        <v/>
      </c>
      <c r="V1521">
        <f>IF(selection!H1518=1,selection!N1518,NA())</f>
        <v/>
      </c>
      <c r="W1521">
        <f>IF(selection!H1518=0,selection!M1518,NA())</f>
        <v/>
      </c>
      <c r="X1521">
        <f>IF(selection!H1518=0,selection!N1518,NA())</f>
        <v/>
      </c>
    </row>
    <row r="1522">
      <c r="U1522">
        <f>IF(selection!H1519=1,selection!M1519,NA())</f>
        <v/>
      </c>
      <c r="V1522">
        <f>IF(selection!H1519=1,selection!N1519,NA())</f>
        <v/>
      </c>
      <c r="W1522">
        <f>IF(selection!H1519=0,selection!M1519,NA())</f>
        <v/>
      </c>
      <c r="X1522">
        <f>IF(selection!H1519=0,selection!N1519,NA())</f>
        <v/>
      </c>
    </row>
    <row r="1523">
      <c r="U1523">
        <f>IF(selection!H1520=1,selection!M1520,NA())</f>
        <v/>
      </c>
      <c r="V1523">
        <f>IF(selection!H1520=1,selection!N1520,NA())</f>
        <v/>
      </c>
      <c r="W1523">
        <f>IF(selection!H1520=0,selection!M1520,NA())</f>
        <v/>
      </c>
      <c r="X1523">
        <f>IF(selection!H1520=0,selection!N1520,NA())</f>
        <v/>
      </c>
    </row>
    <row r="1524">
      <c r="U1524">
        <f>IF(selection!H1521=1,selection!M1521,NA())</f>
        <v/>
      </c>
      <c r="V1524">
        <f>IF(selection!H1521=1,selection!N1521,NA())</f>
        <v/>
      </c>
      <c r="W1524">
        <f>IF(selection!H1521=0,selection!M1521,NA())</f>
        <v/>
      </c>
      <c r="X1524">
        <f>IF(selection!H1521=0,selection!N1521,NA())</f>
        <v/>
      </c>
    </row>
    <row r="1525">
      <c r="U1525">
        <f>IF(selection!H1522=1,selection!M1522,NA())</f>
        <v/>
      </c>
      <c r="V1525">
        <f>IF(selection!H1522=1,selection!N1522,NA())</f>
        <v/>
      </c>
      <c r="W1525">
        <f>IF(selection!H1522=0,selection!M1522,NA())</f>
        <v/>
      </c>
      <c r="X1525">
        <f>IF(selection!H1522=0,selection!N1522,NA())</f>
        <v/>
      </c>
    </row>
    <row r="1526">
      <c r="U1526">
        <f>IF(selection!H1523=1,selection!M1523,NA())</f>
        <v/>
      </c>
      <c r="V1526">
        <f>IF(selection!H1523=1,selection!N1523,NA())</f>
        <v/>
      </c>
      <c r="W1526">
        <f>IF(selection!H1523=0,selection!M1523,NA())</f>
        <v/>
      </c>
      <c r="X1526">
        <f>IF(selection!H1523=0,selection!N1523,NA())</f>
        <v/>
      </c>
    </row>
    <row r="1527">
      <c r="U1527">
        <f>IF(selection!H1524=1,selection!M1524,NA())</f>
        <v/>
      </c>
      <c r="V1527">
        <f>IF(selection!H1524=1,selection!N1524,NA())</f>
        <v/>
      </c>
      <c r="W1527">
        <f>IF(selection!H1524=0,selection!M1524,NA())</f>
        <v/>
      </c>
      <c r="X1527">
        <f>IF(selection!H1524=0,selection!N1524,NA())</f>
        <v/>
      </c>
    </row>
    <row r="1528">
      <c r="U1528">
        <f>IF(selection!H1525=1,selection!M1525,NA())</f>
        <v/>
      </c>
      <c r="V1528">
        <f>IF(selection!H1525=1,selection!N1525,NA())</f>
        <v/>
      </c>
      <c r="W1528">
        <f>IF(selection!H1525=0,selection!M1525,NA())</f>
        <v/>
      </c>
      <c r="X1528">
        <f>IF(selection!H1525=0,selection!N1525,NA())</f>
        <v/>
      </c>
    </row>
    <row r="1529">
      <c r="U1529">
        <f>IF(selection!H1526=1,selection!M1526,NA())</f>
        <v/>
      </c>
      <c r="V1529">
        <f>IF(selection!H1526=1,selection!N1526,NA())</f>
        <v/>
      </c>
      <c r="W1529">
        <f>IF(selection!H1526=0,selection!M1526,NA())</f>
        <v/>
      </c>
      <c r="X1529">
        <f>IF(selection!H1526=0,selection!N1526,NA())</f>
        <v/>
      </c>
    </row>
    <row r="1530">
      <c r="U1530">
        <f>IF(selection!H1527=1,selection!M1527,NA())</f>
        <v/>
      </c>
      <c r="V1530">
        <f>IF(selection!H1527=1,selection!N1527,NA())</f>
        <v/>
      </c>
      <c r="W1530">
        <f>IF(selection!H1527=0,selection!M1527,NA())</f>
        <v/>
      </c>
      <c r="X1530">
        <f>IF(selection!H1527=0,selection!N1527,NA())</f>
        <v/>
      </c>
    </row>
    <row r="1531">
      <c r="U1531">
        <f>IF(selection!H1528=1,selection!M1528,NA())</f>
        <v/>
      </c>
      <c r="V1531">
        <f>IF(selection!H1528=1,selection!N1528,NA())</f>
        <v/>
      </c>
      <c r="W1531">
        <f>IF(selection!H1528=0,selection!M1528,NA())</f>
        <v/>
      </c>
      <c r="X1531">
        <f>IF(selection!H1528=0,selection!N1528,NA())</f>
        <v/>
      </c>
    </row>
    <row r="1532">
      <c r="U1532">
        <f>IF(selection!H1529=1,selection!M1529,NA())</f>
        <v/>
      </c>
      <c r="V1532">
        <f>IF(selection!H1529=1,selection!N1529,NA())</f>
        <v/>
      </c>
      <c r="W1532">
        <f>IF(selection!H1529=0,selection!M1529,NA())</f>
        <v/>
      </c>
      <c r="X1532">
        <f>IF(selection!H1529=0,selection!N1529,NA())</f>
        <v/>
      </c>
    </row>
    <row r="1533">
      <c r="U1533">
        <f>IF(selection!H1530=1,selection!M1530,NA())</f>
        <v/>
      </c>
      <c r="V1533">
        <f>IF(selection!H1530=1,selection!N1530,NA())</f>
        <v/>
      </c>
      <c r="W1533">
        <f>IF(selection!H1530=0,selection!M1530,NA())</f>
        <v/>
      </c>
      <c r="X1533">
        <f>IF(selection!H1530=0,selection!N1530,NA())</f>
        <v/>
      </c>
    </row>
    <row r="1534">
      <c r="U1534">
        <f>IF(selection!H1531=1,selection!M1531,NA())</f>
        <v/>
      </c>
      <c r="V1534">
        <f>IF(selection!H1531=1,selection!N1531,NA())</f>
        <v/>
      </c>
      <c r="W1534">
        <f>IF(selection!H1531=0,selection!M1531,NA())</f>
        <v/>
      </c>
      <c r="X1534">
        <f>IF(selection!H1531=0,selection!N1531,NA())</f>
        <v/>
      </c>
    </row>
    <row r="1535">
      <c r="U1535">
        <f>IF(selection!H1532=1,selection!M1532,NA())</f>
        <v/>
      </c>
      <c r="V1535">
        <f>IF(selection!H1532=1,selection!N1532,NA())</f>
        <v/>
      </c>
      <c r="W1535">
        <f>IF(selection!H1532=0,selection!M1532,NA())</f>
        <v/>
      </c>
      <c r="X1535">
        <f>IF(selection!H1532=0,selection!N1532,NA())</f>
        <v/>
      </c>
    </row>
    <row r="1536">
      <c r="U1536">
        <f>IF(selection!H1533=1,selection!M1533,NA())</f>
        <v/>
      </c>
      <c r="V1536">
        <f>IF(selection!H1533=1,selection!N1533,NA())</f>
        <v/>
      </c>
      <c r="W1536">
        <f>IF(selection!H1533=0,selection!M1533,NA())</f>
        <v/>
      </c>
      <c r="X1536">
        <f>IF(selection!H1533=0,selection!N1533,NA())</f>
        <v/>
      </c>
    </row>
    <row r="1537">
      <c r="U1537">
        <f>IF(selection!H1534=1,selection!M1534,NA())</f>
        <v/>
      </c>
      <c r="V1537">
        <f>IF(selection!H1534=1,selection!N1534,NA())</f>
        <v/>
      </c>
      <c r="W1537">
        <f>IF(selection!H1534=0,selection!M1534,NA())</f>
        <v/>
      </c>
      <c r="X1537">
        <f>IF(selection!H1534=0,selection!N1534,NA())</f>
        <v/>
      </c>
    </row>
    <row r="1538">
      <c r="U1538">
        <f>IF(selection!H1535=1,selection!M1535,NA())</f>
        <v/>
      </c>
      <c r="V1538">
        <f>IF(selection!H1535=1,selection!N1535,NA())</f>
        <v/>
      </c>
      <c r="W1538">
        <f>IF(selection!H1535=0,selection!M1535,NA())</f>
        <v/>
      </c>
      <c r="X1538">
        <f>IF(selection!H1535=0,selection!N1535,NA())</f>
        <v/>
      </c>
    </row>
    <row r="1539">
      <c r="U1539">
        <f>IF(selection!H1536=1,selection!M1536,NA())</f>
        <v/>
      </c>
      <c r="V1539">
        <f>IF(selection!H1536=1,selection!N1536,NA())</f>
        <v/>
      </c>
      <c r="W1539">
        <f>IF(selection!H1536=0,selection!M1536,NA())</f>
        <v/>
      </c>
      <c r="X1539">
        <f>IF(selection!H1536=0,selection!N1536,NA())</f>
        <v/>
      </c>
    </row>
    <row r="1540">
      <c r="U1540">
        <f>IF(selection!H1537=1,selection!M1537,NA())</f>
        <v/>
      </c>
      <c r="V1540">
        <f>IF(selection!H1537=1,selection!N1537,NA())</f>
        <v/>
      </c>
      <c r="W1540">
        <f>IF(selection!H1537=0,selection!M1537,NA())</f>
        <v/>
      </c>
      <c r="X1540">
        <f>IF(selection!H1537=0,selection!N1537,NA())</f>
        <v/>
      </c>
    </row>
    <row r="1541">
      <c r="U1541">
        <f>IF(selection!H1538=1,selection!M1538,NA())</f>
        <v/>
      </c>
      <c r="V1541">
        <f>IF(selection!H1538=1,selection!N1538,NA())</f>
        <v/>
      </c>
      <c r="W1541">
        <f>IF(selection!H1538=0,selection!M1538,NA())</f>
        <v/>
      </c>
      <c r="X1541">
        <f>IF(selection!H1538=0,selection!N1538,NA())</f>
        <v/>
      </c>
    </row>
    <row r="1542">
      <c r="U1542">
        <f>IF(selection!H1539=1,selection!M1539,NA())</f>
        <v/>
      </c>
      <c r="V1542">
        <f>IF(selection!H1539=1,selection!N1539,NA())</f>
        <v/>
      </c>
      <c r="W1542">
        <f>IF(selection!H1539=0,selection!M1539,NA())</f>
        <v/>
      </c>
      <c r="X1542">
        <f>IF(selection!H1539=0,selection!N1539,NA())</f>
        <v/>
      </c>
    </row>
    <row r="1543">
      <c r="U1543">
        <f>IF(selection!H1540=1,selection!M1540,NA())</f>
        <v/>
      </c>
      <c r="V1543">
        <f>IF(selection!H1540=1,selection!N1540,NA())</f>
        <v/>
      </c>
      <c r="W1543">
        <f>IF(selection!H1540=0,selection!M1540,NA())</f>
        <v/>
      </c>
      <c r="X1543">
        <f>IF(selection!H1540=0,selection!N1540,NA())</f>
        <v/>
      </c>
    </row>
    <row r="1544">
      <c r="U1544">
        <f>IF(selection!H1541=1,selection!M1541,NA())</f>
        <v/>
      </c>
      <c r="V1544">
        <f>IF(selection!H1541=1,selection!N1541,NA())</f>
        <v/>
      </c>
      <c r="W1544">
        <f>IF(selection!H1541=0,selection!M1541,NA())</f>
        <v/>
      </c>
      <c r="X1544">
        <f>IF(selection!H1541=0,selection!N1541,NA())</f>
        <v/>
      </c>
    </row>
    <row r="1545">
      <c r="U1545">
        <f>IF(selection!H1542=1,selection!M1542,NA())</f>
        <v/>
      </c>
      <c r="V1545">
        <f>IF(selection!H1542=1,selection!N1542,NA())</f>
        <v/>
      </c>
      <c r="W1545">
        <f>IF(selection!H1542=0,selection!M1542,NA())</f>
        <v/>
      </c>
      <c r="X1545">
        <f>IF(selection!H1542=0,selection!N1542,NA())</f>
        <v/>
      </c>
    </row>
    <row r="1546">
      <c r="U1546">
        <f>IF(selection!H1543=1,selection!M1543,NA())</f>
        <v/>
      </c>
      <c r="V1546">
        <f>IF(selection!H1543=1,selection!N1543,NA())</f>
        <v/>
      </c>
      <c r="W1546">
        <f>IF(selection!H1543=0,selection!M1543,NA())</f>
        <v/>
      </c>
      <c r="X1546">
        <f>IF(selection!H1543=0,selection!N1543,NA())</f>
        <v/>
      </c>
    </row>
    <row r="1547">
      <c r="U1547">
        <f>IF(selection!H1544=1,selection!M1544,NA())</f>
        <v/>
      </c>
      <c r="V1547">
        <f>IF(selection!H1544=1,selection!N1544,NA())</f>
        <v/>
      </c>
      <c r="W1547">
        <f>IF(selection!H1544=0,selection!M1544,NA())</f>
        <v/>
      </c>
      <c r="X1547">
        <f>IF(selection!H1544=0,selection!N1544,NA())</f>
        <v/>
      </c>
    </row>
    <row r="1548">
      <c r="U1548">
        <f>IF(selection!H1545=1,selection!M1545,NA())</f>
        <v/>
      </c>
      <c r="V1548">
        <f>IF(selection!H1545=1,selection!N1545,NA())</f>
        <v/>
      </c>
      <c r="W1548">
        <f>IF(selection!H1545=0,selection!M1545,NA())</f>
        <v/>
      </c>
      <c r="X1548">
        <f>IF(selection!H1545=0,selection!N1545,NA())</f>
        <v/>
      </c>
    </row>
    <row r="1549">
      <c r="U1549">
        <f>IF(selection!H1546=1,selection!M1546,NA())</f>
        <v/>
      </c>
      <c r="V1549">
        <f>IF(selection!H1546=1,selection!N1546,NA())</f>
        <v/>
      </c>
      <c r="W1549">
        <f>IF(selection!H1546=0,selection!M1546,NA())</f>
        <v/>
      </c>
      <c r="X1549">
        <f>IF(selection!H1546=0,selection!N1546,NA())</f>
        <v/>
      </c>
    </row>
    <row r="1550">
      <c r="U1550">
        <f>IF(selection!H1547=1,selection!M1547,NA())</f>
        <v/>
      </c>
      <c r="V1550">
        <f>IF(selection!H1547=1,selection!N1547,NA())</f>
        <v/>
      </c>
      <c r="W1550">
        <f>IF(selection!H1547=0,selection!M1547,NA())</f>
        <v/>
      </c>
      <c r="X1550">
        <f>IF(selection!H1547=0,selection!N1547,NA())</f>
        <v/>
      </c>
    </row>
    <row r="1551">
      <c r="U1551">
        <f>IF(selection!H1548=1,selection!M1548,NA())</f>
        <v/>
      </c>
      <c r="V1551">
        <f>IF(selection!H1548=1,selection!N1548,NA())</f>
        <v/>
      </c>
      <c r="W1551">
        <f>IF(selection!H1548=0,selection!M1548,NA())</f>
        <v/>
      </c>
      <c r="X1551">
        <f>IF(selection!H1548=0,selection!N1548,NA())</f>
        <v/>
      </c>
    </row>
    <row r="1552">
      <c r="U1552">
        <f>IF(selection!H1549=1,selection!M1549,NA())</f>
        <v/>
      </c>
      <c r="V1552">
        <f>IF(selection!H1549=1,selection!N1549,NA())</f>
        <v/>
      </c>
      <c r="W1552">
        <f>IF(selection!H1549=0,selection!M1549,NA())</f>
        <v/>
      </c>
      <c r="X1552">
        <f>IF(selection!H1549=0,selection!N1549,NA())</f>
        <v/>
      </c>
    </row>
    <row r="1553">
      <c r="U1553">
        <f>IF(selection!H1550=1,selection!M1550,NA())</f>
        <v/>
      </c>
      <c r="V1553">
        <f>IF(selection!H1550=1,selection!N1550,NA())</f>
        <v/>
      </c>
      <c r="W1553">
        <f>IF(selection!H1550=0,selection!M1550,NA())</f>
        <v/>
      </c>
      <c r="X1553">
        <f>IF(selection!H1550=0,selection!N1550,NA())</f>
        <v/>
      </c>
    </row>
    <row r="1554">
      <c r="U1554">
        <f>IF(selection!H1551=1,selection!M1551,NA())</f>
        <v/>
      </c>
      <c r="V1554">
        <f>IF(selection!H1551=1,selection!N1551,NA())</f>
        <v/>
      </c>
      <c r="W1554">
        <f>IF(selection!H1551=0,selection!M1551,NA())</f>
        <v/>
      </c>
      <c r="X1554">
        <f>IF(selection!H1551=0,selection!N1551,NA())</f>
        <v/>
      </c>
    </row>
    <row r="1555">
      <c r="U1555">
        <f>IF(selection!H1552=1,selection!M1552,NA())</f>
        <v/>
      </c>
      <c r="V1555">
        <f>IF(selection!H1552=1,selection!N1552,NA())</f>
        <v/>
      </c>
      <c r="W1555">
        <f>IF(selection!H1552=0,selection!M1552,NA())</f>
        <v/>
      </c>
      <c r="X1555">
        <f>IF(selection!H1552=0,selection!N1552,NA())</f>
        <v/>
      </c>
    </row>
    <row r="1556">
      <c r="U1556">
        <f>IF(selection!H1553=1,selection!M1553,NA())</f>
        <v/>
      </c>
      <c r="V1556">
        <f>IF(selection!H1553=1,selection!N1553,NA())</f>
        <v/>
      </c>
      <c r="W1556">
        <f>IF(selection!H1553=0,selection!M1553,NA())</f>
        <v/>
      </c>
      <c r="X1556">
        <f>IF(selection!H1553=0,selection!N1553,NA())</f>
        <v/>
      </c>
    </row>
    <row r="1557">
      <c r="U1557">
        <f>IF(selection!H1554=1,selection!M1554,NA())</f>
        <v/>
      </c>
      <c r="V1557">
        <f>IF(selection!H1554=1,selection!N1554,NA())</f>
        <v/>
      </c>
      <c r="W1557">
        <f>IF(selection!H1554=0,selection!M1554,NA())</f>
        <v/>
      </c>
      <c r="X1557">
        <f>IF(selection!H1554=0,selection!N1554,NA())</f>
        <v/>
      </c>
    </row>
    <row r="1558">
      <c r="U1558">
        <f>IF(selection!H1555=1,selection!M1555,NA())</f>
        <v/>
      </c>
      <c r="V1558">
        <f>IF(selection!H1555=1,selection!N1555,NA())</f>
        <v/>
      </c>
      <c r="W1558">
        <f>IF(selection!H1555=0,selection!M1555,NA())</f>
        <v/>
      </c>
      <c r="X1558">
        <f>IF(selection!H1555=0,selection!N1555,NA())</f>
        <v/>
      </c>
    </row>
    <row r="1559">
      <c r="U1559">
        <f>IF(selection!H1556=1,selection!M1556,NA())</f>
        <v/>
      </c>
      <c r="V1559">
        <f>IF(selection!H1556=1,selection!N1556,NA())</f>
        <v/>
      </c>
      <c r="W1559">
        <f>IF(selection!H1556=0,selection!M1556,NA())</f>
        <v/>
      </c>
      <c r="X1559">
        <f>IF(selection!H1556=0,selection!N1556,NA())</f>
        <v/>
      </c>
    </row>
    <row r="1560">
      <c r="U1560">
        <f>IF(selection!H1557=1,selection!M1557,NA())</f>
        <v/>
      </c>
      <c r="V1560">
        <f>IF(selection!H1557=1,selection!N1557,NA())</f>
        <v/>
      </c>
      <c r="W1560">
        <f>IF(selection!H1557=0,selection!M1557,NA())</f>
        <v/>
      </c>
      <c r="X1560">
        <f>IF(selection!H1557=0,selection!N1557,NA())</f>
        <v/>
      </c>
    </row>
    <row r="1561">
      <c r="U1561">
        <f>IF(selection!H1558=1,selection!M1558,NA())</f>
        <v/>
      </c>
      <c r="V1561">
        <f>IF(selection!H1558=1,selection!N1558,NA())</f>
        <v/>
      </c>
      <c r="W1561">
        <f>IF(selection!H1558=0,selection!M1558,NA())</f>
        <v/>
      </c>
      <c r="X1561">
        <f>IF(selection!H1558=0,selection!N1558,NA())</f>
        <v/>
      </c>
    </row>
    <row r="1562">
      <c r="U1562">
        <f>IF(selection!H1559=1,selection!M1559,NA())</f>
        <v/>
      </c>
      <c r="V1562">
        <f>IF(selection!H1559=1,selection!N1559,NA())</f>
        <v/>
      </c>
      <c r="W1562">
        <f>IF(selection!H1559=0,selection!M1559,NA())</f>
        <v/>
      </c>
      <c r="X1562">
        <f>IF(selection!H1559=0,selection!N1559,NA())</f>
        <v/>
      </c>
    </row>
    <row r="1563">
      <c r="U1563">
        <f>IF(selection!H1560=1,selection!M1560,NA())</f>
        <v/>
      </c>
      <c r="V1563">
        <f>IF(selection!H1560=1,selection!N1560,NA())</f>
        <v/>
      </c>
      <c r="W1563">
        <f>IF(selection!H1560=0,selection!M1560,NA())</f>
        <v/>
      </c>
      <c r="X1563">
        <f>IF(selection!H1560=0,selection!N1560,NA())</f>
        <v/>
      </c>
    </row>
    <row r="1564">
      <c r="U1564">
        <f>IF(selection!H1561=1,selection!M1561,NA())</f>
        <v/>
      </c>
      <c r="V1564">
        <f>IF(selection!H1561=1,selection!N1561,NA())</f>
        <v/>
      </c>
      <c r="W1564">
        <f>IF(selection!H1561=0,selection!M1561,NA())</f>
        <v/>
      </c>
      <c r="X1564">
        <f>IF(selection!H1561=0,selection!N1561,NA())</f>
        <v/>
      </c>
    </row>
    <row r="1565">
      <c r="U1565">
        <f>IF(selection!H1562=1,selection!M1562,NA())</f>
        <v/>
      </c>
      <c r="V1565">
        <f>IF(selection!H1562=1,selection!N1562,NA())</f>
        <v/>
      </c>
      <c r="W1565">
        <f>IF(selection!H1562=0,selection!M1562,NA())</f>
        <v/>
      </c>
      <c r="X1565">
        <f>IF(selection!H1562=0,selection!N1562,NA())</f>
        <v/>
      </c>
    </row>
    <row r="1566">
      <c r="U1566">
        <f>IF(selection!H1563=1,selection!M1563,NA())</f>
        <v/>
      </c>
      <c r="V1566">
        <f>IF(selection!H1563=1,selection!N1563,NA())</f>
        <v/>
      </c>
      <c r="W1566">
        <f>IF(selection!H1563=0,selection!M1563,NA())</f>
        <v/>
      </c>
      <c r="X1566">
        <f>IF(selection!H1563=0,selection!N1563,NA())</f>
        <v/>
      </c>
    </row>
    <row r="1567">
      <c r="U1567">
        <f>IF(selection!H1564=1,selection!M1564,NA())</f>
        <v/>
      </c>
      <c r="V1567">
        <f>IF(selection!H1564=1,selection!N1564,NA())</f>
        <v/>
      </c>
      <c r="W1567">
        <f>IF(selection!H1564=0,selection!M1564,NA())</f>
        <v/>
      </c>
      <c r="X1567">
        <f>IF(selection!H1564=0,selection!N1564,NA())</f>
        <v/>
      </c>
    </row>
    <row r="1568">
      <c r="U1568">
        <f>IF(selection!H1565=1,selection!M1565,NA())</f>
        <v/>
      </c>
      <c r="V1568">
        <f>IF(selection!H1565=1,selection!N1565,NA())</f>
        <v/>
      </c>
      <c r="W1568">
        <f>IF(selection!H1565=0,selection!M1565,NA())</f>
        <v/>
      </c>
      <c r="X1568">
        <f>IF(selection!H1565=0,selection!N1565,NA())</f>
        <v/>
      </c>
    </row>
    <row r="1569">
      <c r="U1569">
        <f>IF(selection!H1566=1,selection!M1566,NA())</f>
        <v/>
      </c>
      <c r="V1569">
        <f>IF(selection!H1566=1,selection!N1566,NA())</f>
        <v/>
      </c>
      <c r="W1569">
        <f>IF(selection!H1566=0,selection!M1566,NA())</f>
        <v/>
      </c>
      <c r="X1569">
        <f>IF(selection!H1566=0,selection!N1566,NA())</f>
        <v/>
      </c>
    </row>
    <row r="1570">
      <c r="U1570">
        <f>IF(selection!H1567=1,selection!M1567,NA())</f>
        <v/>
      </c>
      <c r="V1570">
        <f>IF(selection!H1567=1,selection!N1567,NA())</f>
        <v/>
      </c>
      <c r="W1570">
        <f>IF(selection!H1567=0,selection!M1567,NA())</f>
        <v/>
      </c>
      <c r="X1570">
        <f>IF(selection!H1567=0,selection!N1567,NA())</f>
        <v/>
      </c>
    </row>
    <row r="1571">
      <c r="U1571">
        <f>IF(selection!H1568=1,selection!M1568,NA())</f>
        <v/>
      </c>
      <c r="V1571">
        <f>IF(selection!H1568=1,selection!N1568,NA())</f>
        <v/>
      </c>
      <c r="W1571">
        <f>IF(selection!H1568=0,selection!M1568,NA())</f>
        <v/>
      </c>
      <c r="X1571">
        <f>IF(selection!H1568=0,selection!N1568,NA())</f>
        <v/>
      </c>
    </row>
    <row r="1572">
      <c r="U1572">
        <f>IF(selection!H1569=1,selection!M1569,NA())</f>
        <v/>
      </c>
      <c r="V1572">
        <f>IF(selection!H1569=1,selection!N1569,NA())</f>
        <v/>
      </c>
      <c r="W1572">
        <f>IF(selection!H1569=0,selection!M1569,NA())</f>
        <v/>
      </c>
      <c r="X1572">
        <f>IF(selection!H1569=0,selection!N1569,NA())</f>
        <v/>
      </c>
    </row>
    <row r="1573">
      <c r="U1573">
        <f>IF(selection!H1570=1,selection!M1570,NA())</f>
        <v/>
      </c>
      <c r="V1573">
        <f>IF(selection!H1570=1,selection!N1570,NA())</f>
        <v/>
      </c>
      <c r="W1573">
        <f>IF(selection!H1570=0,selection!M1570,NA())</f>
        <v/>
      </c>
      <c r="X1573">
        <f>IF(selection!H1570=0,selection!N1570,NA())</f>
        <v/>
      </c>
    </row>
    <row r="1574">
      <c r="U1574">
        <f>IF(selection!H1571=1,selection!M1571,NA())</f>
        <v/>
      </c>
      <c r="V1574">
        <f>IF(selection!H1571=1,selection!N1571,NA())</f>
        <v/>
      </c>
      <c r="W1574">
        <f>IF(selection!H1571=0,selection!M1571,NA())</f>
        <v/>
      </c>
      <c r="X1574">
        <f>IF(selection!H1571=0,selection!N1571,NA())</f>
        <v/>
      </c>
    </row>
    <row r="1575">
      <c r="U1575">
        <f>IF(selection!H1572=1,selection!M1572,NA())</f>
        <v/>
      </c>
      <c r="V1575">
        <f>IF(selection!H1572=1,selection!N1572,NA())</f>
        <v/>
      </c>
      <c r="W1575">
        <f>IF(selection!H1572=0,selection!M1572,NA())</f>
        <v/>
      </c>
      <c r="X1575">
        <f>IF(selection!H1572=0,selection!N1572,NA())</f>
        <v/>
      </c>
    </row>
    <row r="1576">
      <c r="U1576">
        <f>IF(selection!H1573=1,selection!M1573,NA())</f>
        <v/>
      </c>
      <c r="V1576">
        <f>IF(selection!H1573=1,selection!N1573,NA())</f>
        <v/>
      </c>
      <c r="W1576">
        <f>IF(selection!H1573=0,selection!M1573,NA())</f>
        <v/>
      </c>
      <c r="X1576">
        <f>IF(selection!H1573=0,selection!N1573,NA())</f>
        <v/>
      </c>
    </row>
    <row r="1577">
      <c r="U1577">
        <f>IF(selection!H1574=1,selection!M1574,NA())</f>
        <v/>
      </c>
      <c r="V1577">
        <f>IF(selection!H1574=1,selection!N1574,NA())</f>
        <v/>
      </c>
      <c r="W1577">
        <f>IF(selection!H1574=0,selection!M1574,NA())</f>
        <v/>
      </c>
      <c r="X1577">
        <f>IF(selection!H1574=0,selection!N1574,NA())</f>
        <v/>
      </c>
    </row>
    <row r="1578">
      <c r="U1578">
        <f>IF(selection!H1575=1,selection!M1575,NA())</f>
        <v/>
      </c>
      <c r="V1578">
        <f>IF(selection!H1575=1,selection!N1575,NA())</f>
        <v/>
      </c>
      <c r="W1578">
        <f>IF(selection!H1575=0,selection!M1575,NA())</f>
        <v/>
      </c>
      <c r="X1578">
        <f>IF(selection!H1575=0,selection!N1575,NA())</f>
        <v/>
      </c>
    </row>
    <row r="1579">
      <c r="U1579">
        <f>IF(selection!H1576=1,selection!M1576,NA())</f>
        <v/>
      </c>
      <c r="V1579">
        <f>IF(selection!H1576=1,selection!N1576,NA())</f>
        <v/>
      </c>
      <c r="W1579">
        <f>IF(selection!H1576=0,selection!M1576,NA())</f>
        <v/>
      </c>
      <c r="X1579">
        <f>IF(selection!H1576=0,selection!N1576,NA())</f>
        <v/>
      </c>
    </row>
    <row r="1580">
      <c r="U1580">
        <f>IF(selection!H1577=1,selection!M1577,NA())</f>
        <v/>
      </c>
      <c r="V1580">
        <f>IF(selection!H1577=1,selection!N1577,NA())</f>
        <v/>
      </c>
      <c r="W1580">
        <f>IF(selection!H1577=0,selection!M1577,NA())</f>
        <v/>
      </c>
      <c r="X1580">
        <f>IF(selection!H1577=0,selection!N1577,NA())</f>
        <v/>
      </c>
    </row>
    <row r="1581">
      <c r="U1581">
        <f>IF(selection!H1578=1,selection!M1578,NA())</f>
        <v/>
      </c>
      <c r="V1581">
        <f>IF(selection!H1578=1,selection!N1578,NA())</f>
        <v/>
      </c>
      <c r="W1581">
        <f>IF(selection!H1578=0,selection!M1578,NA())</f>
        <v/>
      </c>
      <c r="X1581">
        <f>IF(selection!H1578=0,selection!N1578,NA())</f>
        <v/>
      </c>
    </row>
    <row r="1582">
      <c r="U1582">
        <f>IF(selection!H1579=1,selection!M1579,NA())</f>
        <v/>
      </c>
      <c r="V1582">
        <f>IF(selection!H1579=1,selection!N1579,NA())</f>
        <v/>
      </c>
      <c r="W1582">
        <f>IF(selection!H1579=0,selection!M1579,NA())</f>
        <v/>
      </c>
      <c r="X1582">
        <f>IF(selection!H1579=0,selection!N1579,NA())</f>
        <v/>
      </c>
    </row>
    <row r="1583">
      <c r="U1583">
        <f>IF(selection!H1580=1,selection!M1580,NA())</f>
        <v/>
      </c>
      <c r="V1583">
        <f>IF(selection!H1580=1,selection!N1580,NA())</f>
        <v/>
      </c>
      <c r="W1583">
        <f>IF(selection!H1580=0,selection!M1580,NA())</f>
        <v/>
      </c>
      <c r="X1583">
        <f>IF(selection!H1580=0,selection!N1580,NA())</f>
        <v/>
      </c>
    </row>
    <row r="1584">
      <c r="U1584">
        <f>IF(selection!H1581=1,selection!M1581,NA())</f>
        <v/>
      </c>
      <c r="V1584">
        <f>IF(selection!H1581=1,selection!N1581,NA())</f>
        <v/>
      </c>
      <c r="W1584">
        <f>IF(selection!H1581=0,selection!M1581,NA())</f>
        <v/>
      </c>
      <c r="X1584">
        <f>IF(selection!H1581=0,selection!N1581,NA())</f>
        <v/>
      </c>
    </row>
    <row r="1585">
      <c r="U1585">
        <f>IF(selection!H1582=1,selection!M1582,NA())</f>
        <v/>
      </c>
      <c r="V1585">
        <f>IF(selection!H1582=1,selection!N1582,NA())</f>
        <v/>
      </c>
      <c r="W1585">
        <f>IF(selection!H1582=0,selection!M1582,NA())</f>
        <v/>
      </c>
      <c r="X1585">
        <f>IF(selection!H1582=0,selection!N1582,NA())</f>
        <v/>
      </c>
    </row>
    <row r="1586">
      <c r="U1586">
        <f>IF(selection!H1583=1,selection!M1583,NA())</f>
        <v/>
      </c>
      <c r="V1586">
        <f>IF(selection!H1583=1,selection!N1583,NA())</f>
        <v/>
      </c>
      <c r="W1586">
        <f>IF(selection!H1583=0,selection!M1583,NA())</f>
        <v/>
      </c>
      <c r="X1586">
        <f>IF(selection!H1583=0,selection!N1583,NA())</f>
        <v/>
      </c>
    </row>
    <row r="1587">
      <c r="U1587">
        <f>IF(selection!H1584=1,selection!M1584,NA())</f>
        <v/>
      </c>
      <c r="V1587">
        <f>IF(selection!H1584=1,selection!N1584,NA())</f>
        <v/>
      </c>
      <c r="W1587">
        <f>IF(selection!H1584=0,selection!M1584,NA())</f>
        <v/>
      </c>
      <c r="X1587">
        <f>IF(selection!H1584=0,selection!N1584,NA())</f>
        <v/>
      </c>
    </row>
    <row r="1588">
      <c r="U1588">
        <f>IF(selection!H1585=1,selection!M1585,NA())</f>
        <v/>
      </c>
      <c r="V1588">
        <f>IF(selection!H1585=1,selection!N1585,NA())</f>
        <v/>
      </c>
      <c r="W1588">
        <f>IF(selection!H1585=0,selection!M1585,NA())</f>
        <v/>
      </c>
      <c r="X1588">
        <f>IF(selection!H1585=0,selection!N1585,NA())</f>
        <v/>
      </c>
    </row>
    <row r="1589">
      <c r="U1589">
        <f>IF(selection!H1586=1,selection!M1586,NA())</f>
        <v/>
      </c>
      <c r="V1589">
        <f>IF(selection!H1586=1,selection!N1586,NA())</f>
        <v/>
      </c>
      <c r="W1589">
        <f>IF(selection!H1586=0,selection!M1586,NA())</f>
        <v/>
      </c>
      <c r="X1589">
        <f>IF(selection!H1586=0,selection!N1586,NA())</f>
        <v/>
      </c>
    </row>
    <row r="1590">
      <c r="U1590">
        <f>IF(selection!H1587=1,selection!M1587,NA())</f>
        <v/>
      </c>
      <c r="V1590">
        <f>IF(selection!H1587=1,selection!N1587,NA())</f>
        <v/>
      </c>
      <c r="W1590">
        <f>IF(selection!H1587=0,selection!M1587,NA())</f>
        <v/>
      </c>
      <c r="X1590">
        <f>IF(selection!H1587=0,selection!N1587,NA())</f>
        <v/>
      </c>
    </row>
    <row r="1591">
      <c r="U1591">
        <f>IF(selection!H1588=1,selection!M1588,NA())</f>
        <v/>
      </c>
      <c r="V1591">
        <f>IF(selection!H1588=1,selection!N1588,NA())</f>
        <v/>
      </c>
      <c r="W1591">
        <f>IF(selection!H1588=0,selection!M1588,NA())</f>
        <v/>
      </c>
      <c r="X1591">
        <f>IF(selection!H1588=0,selection!N1588,NA())</f>
        <v/>
      </c>
    </row>
    <row r="1592">
      <c r="U1592">
        <f>IF(selection!H1589=1,selection!M1589,NA())</f>
        <v/>
      </c>
      <c r="V1592">
        <f>IF(selection!H1589=1,selection!N1589,NA())</f>
        <v/>
      </c>
      <c r="W1592">
        <f>IF(selection!H1589=0,selection!M1589,NA())</f>
        <v/>
      </c>
      <c r="X1592">
        <f>IF(selection!H1589=0,selection!N1589,NA())</f>
        <v/>
      </c>
    </row>
    <row r="1593">
      <c r="U1593">
        <f>IF(selection!H1590=1,selection!M1590,NA())</f>
        <v/>
      </c>
      <c r="V1593">
        <f>IF(selection!H1590=1,selection!N1590,NA())</f>
        <v/>
      </c>
      <c r="W1593">
        <f>IF(selection!H1590=0,selection!M1590,NA())</f>
        <v/>
      </c>
      <c r="X1593">
        <f>IF(selection!H1590=0,selection!N1590,NA())</f>
        <v/>
      </c>
    </row>
    <row r="1594">
      <c r="U1594">
        <f>IF(selection!H1591=1,selection!M1591,NA())</f>
        <v/>
      </c>
      <c r="V1594">
        <f>IF(selection!H1591=1,selection!N1591,NA())</f>
        <v/>
      </c>
      <c r="W1594">
        <f>IF(selection!H1591=0,selection!M1591,NA())</f>
        <v/>
      </c>
      <c r="X1594">
        <f>IF(selection!H1591=0,selection!N1591,NA())</f>
        <v/>
      </c>
    </row>
    <row r="1595">
      <c r="U1595">
        <f>IF(selection!H1592=1,selection!M1592,NA())</f>
        <v/>
      </c>
      <c r="V1595">
        <f>IF(selection!H1592=1,selection!N1592,NA())</f>
        <v/>
      </c>
      <c r="W1595">
        <f>IF(selection!H1592=0,selection!M1592,NA())</f>
        <v/>
      </c>
      <c r="X1595">
        <f>IF(selection!H1592=0,selection!N1592,NA())</f>
        <v/>
      </c>
    </row>
    <row r="1596">
      <c r="U1596">
        <f>IF(selection!H1593=1,selection!M1593,NA())</f>
        <v/>
      </c>
      <c r="V1596">
        <f>IF(selection!H1593=1,selection!N1593,NA())</f>
        <v/>
      </c>
      <c r="W1596">
        <f>IF(selection!H1593=0,selection!M1593,NA())</f>
        <v/>
      </c>
      <c r="X1596">
        <f>IF(selection!H1593=0,selection!N1593,NA())</f>
        <v/>
      </c>
    </row>
    <row r="1597">
      <c r="U1597">
        <f>IF(selection!H1594=1,selection!M1594,NA())</f>
        <v/>
      </c>
      <c r="V1597">
        <f>IF(selection!H1594=1,selection!N1594,NA())</f>
        <v/>
      </c>
      <c r="W1597">
        <f>IF(selection!H1594=0,selection!M1594,NA())</f>
        <v/>
      </c>
      <c r="X1597">
        <f>IF(selection!H1594=0,selection!N1594,NA())</f>
        <v/>
      </c>
    </row>
    <row r="1598">
      <c r="U1598">
        <f>IF(selection!H1595=1,selection!M1595,NA())</f>
        <v/>
      </c>
      <c r="V1598">
        <f>IF(selection!H1595=1,selection!N1595,NA())</f>
        <v/>
      </c>
      <c r="W1598">
        <f>IF(selection!H1595=0,selection!M1595,NA())</f>
        <v/>
      </c>
      <c r="X1598">
        <f>IF(selection!H1595=0,selection!N1595,NA())</f>
        <v/>
      </c>
    </row>
    <row r="1599">
      <c r="U1599">
        <f>IF(selection!H1596=1,selection!M1596,NA())</f>
        <v/>
      </c>
      <c r="V1599">
        <f>IF(selection!H1596=1,selection!N1596,NA())</f>
        <v/>
      </c>
      <c r="W1599">
        <f>IF(selection!H1596=0,selection!M1596,NA())</f>
        <v/>
      </c>
      <c r="X1599">
        <f>IF(selection!H1596=0,selection!N1596,NA())</f>
        <v/>
      </c>
    </row>
    <row r="1600">
      <c r="U1600">
        <f>IF(selection!H1597=1,selection!M1597,NA())</f>
        <v/>
      </c>
      <c r="V1600">
        <f>IF(selection!H1597=1,selection!N1597,NA())</f>
        <v/>
      </c>
      <c r="W1600">
        <f>IF(selection!H1597=0,selection!M1597,NA())</f>
        <v/>
      </c>
      <c r="X1600">
        <f>IF(selection!H1597=0,selection!N1597,NA())</f>
        <v/>
      </c>
    </row>
    <row r="1601">
      <c r="U1601">
        <f>IF(selection!H1598=1,selection!M1598,NA())</f>
        <v/>
      </c>
      <c r="V1601">
        <f>IF(selection!H1598=1,selection!N1598,NA())</f>
        <v/>
      </c>
      <c r="W1601">
        <f>IF(selection!H1598=0,selection!M1598,NA())</f>
        <v/>
      </c>
      <c r="X1601">
        <f>IF(selection!H1598=0,selection!N1598,NA())</f>
        <v/>
      </c>
    </row>
    <row r="1602">
      <c r="U1602">
        <f>IF(selection!H1599=1,selection!M1599,NA())</f>
        <v/>
      </c>
      <c r="V1602">
        <f>IF(selection!H1599=1,selection!N1599,NA())</f>
        <v/>
      </c>
      <c r="W1602">
        <f>IF(selection!H1599=0,selection!M1599,NA())</f>
        <v/>
      </c>
      <c r="X1602">
        <f>IF(selection!H1599=0,selection!N1599,NA())</f>
        <v/>
      </c>
    </row>
    <row r="1603">
      <c r="U1603">
        <f>IF(selection!H1600=1,selection!M1600,NA())</f>
        <v/>
      </c>
      <c r="V1603">
        <f>IF(selection!H1600=1,selection!N1600,NA())</f>
        <v/>
      </c>
      <c r="W1603">
        <f>IF(selection!H1600=0,selection!M1600,NA())</f>
        <v/>
      </c>
      <c r="X1603">
        <f>IF(selection!H1600=0,selection!N1600,NA())</f>
        <v/>
      </c>
    </row>
    <row r="1604">
      <c r="U1604">
        <f>IF(selection!H1601=1,selection!M1601,NA())</f>
        <v/>
      </c>
      <c r="V1604">
        <f>IF(selection!H1601=1,selection!N1601,NA())</f>
        <v/>
      </c>
      <c r="W1604">
        <f>IF(selection!H1601=0,selection!M1601,NA())</f>
        <v/>
      </c>
      <c r="X1604">
        <f>IF(selection!H1601=0,selection!N1601,NA())</f>
        <v/>
      </c>
    </row>
    <row r="1605">
      <c r="U1605">
        <f>IF(selection!H1602=1,selection!M1602,NA())</f>
        <v/>
      </c>
      <c r="V1605">
        <f>IF(selection!H1602=1,selection!N1602,NA())</f>
        <v/>
      </c>
      <c r="W1605">
        <f>IF(selection!H1602=0,selection!M1602,NA())</f>
        <v/>
      </c>
      <c r="X1605">
        <f>IF(selection!H1602=0,selection!N1602,NA())</f>
        <v/>
      </c>
    </row>
    <row r="1606">
      <c r="U1606">
        <f>IF(selection!H1603=1,selection!M1603,NA())</f>
        <v/>
      </c>
      <c r="V1606">
        <f>IF(selection!H1603=1,selection!N1603,NA())</f>
        <v/>
      </c>
      <c r="W1606">
        <f>IF(selection!H1603=0,selection!M1603,NA())</f>
        <v/>
      </c>
      <c r="X1606">
        <f>IF(selection!H1603=0,selection!N1603,NA())</f>
        <v/>
      </c>
    </row>
    <row r="1607">
      <c r="U1607">
        <f>IF(selection!H1604=1,selection!M1604,NA())</f>
        <v/>
      </c>
      <c r="V1607">
        <f>IF(selection!H1604=1,selection!N1604,NA())</f>
        <v/>
      </c>
      <c r="W1607">
        <f>IF(selection!H1604=0,selection!M1604,NA())</f>
        <v/>
      </c>
      <c r="X1607">
        <f>IF(selection!H1604=0,selection!N1604,NA())</f>
        <v/>
      </c>
    </row>
    <row r="1608">
      <c r="U1608">
        <f>IF(selection!H1605=1,selection!M1605,NA())</f>
        <v/>
      </c>
      <c r="V1608">
        <f>IF(selection!H1605=1,selection!N1605,NA())</f>
        <v/>
      </c>
      <c r="W1608">
        <f>IF(selection!H1605=0,selection!M1605,NA())</f>
        <v/>
      </c>
      <c r="X1608">
        <f>IF(selection!H1605=0,selection!N1605,NA())</f>
        <v/>
      </c>
    </row>
    <row r="1609">
      <c r="U1609">
        <f>IF(selection!H1606=1,selection!M1606,NA())</f>
        <v/>
      </c>
      <c r="V1609">
        <f>IF(selection!H1606=1,selection!N1606,NA())</f>
        <v/>
      </c>
      <c r="W1609">
        <f>IF(selection!H1606=0,selection!M1606,NA())</f>
        <v/>
      </c>
      <c r="X1609">
        <f>IF(selection!H1606=0,selection!N1606,NA())</f>
        <v/>
      </c>
    </row>
    <row r="1610">
      <c r="U1610">
        <f>IF(selection!H1607=1,selection!M1607,NA())</f>
        <v/>
      </c>
      <c r="V1610">
        <f>IF(selection!H1607=1,selection!N1607,NA())</f>
        <v/>
      </c>
      <c r="W1610">
        <f>IF(selection!H1607=0,selection!M1607,NA())</f>
        <v/>
      </c>
      <c r="X1610">
        <f>IF(selection!H1607=0,selection!N1607,NA())</f>
        <v/>
      </c>
    </row>
    <row r="1611">
      <c r="U1611">
        <f>IF(selection!H1608=1,selection!M1608,NA())</f>
        <v/>
      </c>
      <c r="V1611">
        <f>IF(selection!H1608=1,selection!N1608,NA())</f>
        <v/>
      </c>
      <c r="W1611">
        <f>IF(selection!H1608=0,selection!M1608,NA())</f>
        <v/>
      </c>
      <c r="X1611">
        <f>IF(selection!H1608=0,selection!N1608,NA())</f>
        <v/>
      </c>
    </row>
    <row r="1612">
      <c r="U1612">
        <f>IF(selection!H1609=1,selection!M1609,NA())</f>
        <v/>
      </c>
      <c r="V1612">
        <f>IF(selection!H1609=1,selection!N1609,NA())</f>
        <v/>
      </c>
      <c r="W1612">
        <f>IF(selection!H1609=0,selection!M1609,NA())</f>
        <v/>
      </c>
      <c r="X1612">
        <f>IF(selection!H1609=0,selection!N1609,NA())</f>
        <v/>
      </c>
    </row>
    <row r="1613">
      <c r="U1613">
        <f>IF(selection!H1610=1,selection!M1610,NA())</f>
        <v/>
      </c>
      <c r="V1613">
        <f>IF(selection!H1610=1,selection!N1610,NA())</f>
        <v/>
      </c>
      <c r="W1613">
        <f>IF(selection!H1610=0,selection!M1610,NA())</f>
        <v/>
      </c>
      <c r="X1613">
        <f>IF(selection!H1610=0,selection!N1610,NA())</f>
        <v/>
      </c>
    </row>
    <row r="1614">
      <c r="U1614">
        <f>IF(selection!H1611=1,selection!M1611,NA())</f>
        <v/>
      </c>
      <c r="V1614">
        <f>IF(selection!H1611=1,selection!N1611,NA())</f>
        <v/>
      </c>
      <c r="W1614">
        <f>IF(selection!H1611=0,selection!M1611,NA())</f>
        <v/>
      </c>
      <c r="X1614">
        <f>IF(selection!H1611=0,selection!N1611,NA())</f>
        <v/>
      </c>
    </row>
    <row r="1615">
      <c r="U1615">
        <f>IF(selection!H1612=1,selection!M1612,NA())</f>
        <v/>
      </c>
      <c r="V1615">
        <f>IF(selection!H1612=1,selection!N1612,NA())</f>
        <v/>
      </c>
      <c r="W1615">
        <f>IF(selection!H1612=0,selection!M1612,NA())</f>
        <v/>
      </c>
      <c r="X1615">
        <f>IF(selection!H1612=0,selection!N1612,NA())</f>
        <v/>
      </c>
    </row>
    <row r="1616">
      <c r="U1616">
        <f>IF(selection!H1613=1,selection!M1613,NA())</f>
        <v/>
      </c>
      <c r="V1616">
        <f>IF(selection!H1613=1,selection!N1613,NA())</f>
        <v/>
      </c>
      <c r="W1616">
        <f>IF(selection!H1613=0,selection!M1613,NA())</f>
        <v/>
      </c>
      <c r="X1616">
        <f>IF(selection!H1613=0,selection!N1613,NA())</f>
        <v/>
      </c>
    </row>
    <row r="1617">
      <c r="U1617">
        <f>IF(selection!H1614=1,selection!M1614,NA())</f>
        <v/>
      </c>
      <c r="V1617">
        <f>IF(selection!H1614=1,selection!N1614,NA())</f>
        <v/>
      </c>
      <c r="W1617">
        <f>IF(selection!H1614=0,selection!M1614,NA())</f>
        <v/>
      </c>
      <c r="X1617">
        <f>IF(selection!H1614=0,selection!N1614,NA())</f>
        <v/>
      </c>
    </row>
    <row r="1618">
      <c r="U1618">
        <f>IF(selection!H1615=1,selection!M1615,NA())</f>
        <v/>
      </c>
      <c r="V1618">
        <f>IF(selection!H1615=1,selection!N1615,NA())</f>
        <v/>
      </c>
      <c r="W1618">
        <f>IF(selection!H1615=0,selection!M1615,NA())</f>
        <v/>
      </c>
      <c r="X1618">
        <f>IF(selection!H1615=0,selection!N1615,NA())</f>
        <v/>
      </c>
    </row>
    <row r="1619">
      <c r="U1619">
        <f>IF(selection!H1616=1,selection!M1616,NA())</f>
        <v/>
      </c>
      <c r="V1619">
        <f>IF(selection!H1616=1,selection!N1616,NA())</f>
        <v/>
      </c>
      <c r="W1619">
        <f>IF(selection!H1616=0,selection!M1616,NA())</f>
        <v/>
      </c>
      <c r="X1619">
        <f>IF(selection!H1616=0,selection!N1616,NA())</f>
        <v/>
      </c>
    </row>
    <row r="1620">
      <c r="U1620">
        <f>IF(selection!H1617=1,selection!M1617,NA())</f>
        <v/>
      </c>
      <c r="V1620">
        <f>IF(selection!H1617=1,selection!N1617,NA())</f>
        <v/>
      </c>
      <c r="W1620">
        <f>IF(selection!H1617=0,selection!M1617,NA())</f>
        <v/>
      </c>
      <c r="X1620">
        <f>IF(selection!H1617=0,selection!N1617,NA())</f>
        <v/>
      </c>
    </row>
    <row r="1621">
      <c r="U1621">
        <f>IF(selection!H1618=1,selection!M1618,NA())</f>
        <v/>
      </c>
      <c r="V1621">
        <f>IF(selection!H1618=1,selection!N1618,NA())</f>
        <v/>
      </c>
      <c r="W1621">
        <f>IF(selection!H1618=0,selection!M1618,NA())</f>
        <v/>
      </c>
      <c r="X1621">
        <f>IF(selection!H1618=0,selection!N1618,NA())</f>
        <v/>
      </c>
    </row>
    <row r="1622">
      <c r="U1622">
        <f>IF(selection!H1619=1,selection!M1619,NA())</f>
        <v/>
      </c>
      <c r="V1622">
        <f>IF(selection!H1619=1,selection!N1619,NA())</f>
        <v/>
      </c>
      <c r="W1622">
        <f>IF(selection!H1619=0,selection!M1619,NA())</f>
        <v/>
      </c>
      <c r="X1622">
        <f>IF(selection!H1619=0,selection!N1619,NA())</f>
        <v/>
      </c>
    </row>
    <row r="1623">
      <c r="U1623">
        <f>IF(selection!H1620=1,selection!M1620,NA())</f>
        <v/>
      </c>
      <c r="V1623">
        <f>IF(selection!H1620=1,selection!N1620,NA())</f>
        <v/>
      </c>
      <c r="W1623">
        <f>IF(selection!H1620=0,selection!M1620,NA())</f>
        <v/>
      </c>
      <c r="X1623">
        <f>IF(selection!H1620=0,selection!N1620,NA())</f>
        <v/>
      </c>
    </row>
    <row r="1624">
      <c r="U1624">
        <f>IF(selection!H1621=1,selection!M1621,NA())</f>
        <v/>
      </c>
      <c r="V1624">
        <f>IF(selection!H1621=1,selection!N1621,NA())</f>
        <v/>
      </c>
      <c r="W1624">
        <f>IF(selection!H1621=0,selection!M1621,NA())</f>
        <v/>
      </c>
      <c r="X1624">
        <f>IF(selection!H1621=0,selection!N1621,NA())</f>
        <v/>
      </c>
    </row>
    <row r="1625">
      <c r="U1625">
        <f>IF(selection!H1622=1,selection!M1622,NA())</f>
        <v/>
      </c>
      <c r="V1625">
        <f>IF(selection!H1622=1,selection!N1622,NA())</f>
        <v/>
      </c>
      <c r="W1625">
        <f>IF(selection!H1622=0,selection!M1622,NA())</f>
        <v/>
      </c>
      <c r="X1625">
        <f>IF(selection!H1622=0,selection!N1622,NA())</f>
        <v/>
      </c>
    </row>
    <row r="1626">
      <c r="U1626">
        <f>IF(selection!H1623=1,selection!M1623,NA())</f>
        <v/>
      </c>
      <c r="V1626">
        <f>IF(selection!H1623=1,selection!N1623,NA())</f>
        <v/>
      </c>
      <c r="W1626">
        <f>IF(selection!H1623=0,selection!M1623,NA())</f>
        <v/>
      </c>
      <c r="X1626">
        <f>IF(selection!H1623=0,selection!N1623,NA())</f>
        <v/>
      </c>
    </row>
    <row r="1627">
      <c r="U1627">
        <f>IF(selection!H1624=1,selection!M1624,NA())</f>
        <v/>
      </c>
      <c r="V1627">
        <f>IF(selection!H1624=1,selection!N1624,NA())</f>
        <v/>
      </c>
      <c r="W1627">
        <f>IF(selection!H1624=0,selection!M1624,NA())</f>
        <v/>
      </c>
      <c r="X1627">
        <f>IF(selection!H1624=0,selection!N1624,NA())</f>
        <v/>
      </c>
    </row>
    <row r="1628">
      <c r="U1628">
        <f>IF(selection!H1625=1,selection!M1625,NA())</f>
        <v/>
      </c>
      <c r="V1628">
        <f>IF(selection!H1625=1,selection!N1625,NA())</f>
        <v/>
      </c>
      <c r="W1628">
        <f>IF(selection!H1625=0,selection!M1625,NA())</f>
        <v/>
      </c>
      <c r="X1628">
        <f>IF(selection!H1625=0,selection!N1625,NA())</f>
        <v/>
      </c>
    </row>
    <row r="1629">
      <c r="U1629">
        <f>IF(selection!H1626=1,selection!M1626,NA())</f>
        <v/>
      </c>
      <c r="V1629">
        <f>IF(selection!H1626=1,selection!N1626,NA())</f>
        <v/>
      </c>
      <c r="W1629">
        <f>IF(selection!H1626=0,selection!M1626,NA())</f>
        <v/>
      </c>
      <c r="X1629">
        <f>IF(selection!H1626=0,selection!N1626,NA())</f>
        <v/>
      </c>
    </row>
    <row r="1630">
      <c r="U1630">
        <f>IF(selection!H1627=1,selection!M1627,NA())</f>
        <v/>
      </c>
      <c r="V1630">
        <f>IF(selection!H1627=1,selection!N1627,NA())</f>
        <v/>
      </c>
      <c r="W1630">
        <f>IF(selection!H1627=0,selection!M1627,NA())</f>
        <v/>
      </c>
      <c r="X1630">
        <f>IF(selection!H1627=0,selection!N1627,NA())</f>
        <v/>
      </c>
    </row>
    <row r="1631">
      <c r="U1631">
        <f>IF(selection!H1628=1,selection!M1628,NA())</f>
        <v/>
      </c>
      <c r="V1631">
        <f>IF(selection!H1628=1,selection!N1628,NA())</f>
        <v/>
      </c>
      <c r="W1631">
        <f>IF(selection!H1628=0,selection!M1628,NA())</f>
        <v/>
      </c>
      <c r="X1631">
        <f>IF(selection!H1628=0,selection!N1628,NA())</f>
        <v/>
      </c>
    </row>
    <row r="1632">
      <c r="U1632">
        <f>IF(selection!H1629=1,selection!M1629,NA())</f>
        <v/>
      </c>
      <c r="V1632">
        <f>IF(selection!H1629=1,selection!N1629,NA())</f>
        <v/>
      </c>
      <c r="W1632">
        <f>IF(selection!H1629=0,selection!M1629,NA())</f>
        <v/>
      </c>
      <c r="X1632">
        <f>IF(selection!H1629=0,selection!N1629,NA())</f>
        <v/>
      </c>
    </row>
    <row r="1633">
      <c r="U1633">
        <f>IF(selection!H1630=1,selection!M1630,NA())</f>
        <v/>
      </c>
      <c r="V1633">
        <f>IF(selection!H1630=1,selection!N1630,NA())</f>
        <v/>
      </c>
      <c r="W1633">
        <f>IF(selection!H1630=0,selection!M1630,NA())</f>
        <v/>
      </c>
      <c r="X1633">
        <f>IF(selection!H1630=0,selection!N1630,NA())</f>
        <v/>
      </c>
    </row>
    <row r="1634">
      <c r="U1634">
        <f>IF(selection!H1631=1,selection!M1631,NA())</f>
        <v/>
      </c>
      <c r="V1634">
        <f>IF(selection!H1631=1,selection!N1631,NA())</f>
        <v/>
      </c>
      <c r="W1634">
        <f>IF(selection!H1631=0,selection!M1631,NA())</f>
        <v/>
      </c>
      <c r="X1634">
        <f>IF(selection!H1631=0,selection!N1631,NA())</f>
        <v/>
      </c>
    </row>
    <row r="1635">
      <c r="U1635">
        <f>IF(selection!H1632=1,selection!M1632,NA())</f>
        <v/>
      </c>
      <c r="V1635">
        <f>IF(selection!H1632=1,selection!N1632,NA())</f>
        <v/>
      </c>
      <c r="W1635">
        <f>IF(selection!H1632=0,selection!M1632,NA())</f>
        <v/>
      </c>
      <c r="X1635">
        <f>IF(selection!H1632=0,selection!N1632,NA())</f>
        <v/>
      </c>
    </row>
    <row r="1636">
      <c r="U1636">
        <f>IF(selection!H1633=1,selection!M1633,NA())</f>
        <v/>
      </c>
      <c r="V1636">
        <f>IF(selection!H1633=1,selection!N1633,NA())</f>
        <v/>
      </c>
      <c r="W1636">
        <f>IF(selection!H1633=0,selection!M1633,NA())</f>
        <v/>
      </c>
      <c r="X1636">
        <f>IF(selection!H1633=0,selection!N1633,NA())</f>
        <v/>
      </c>
    </row>
    <row r="1637">
      <c r="U1637">
        <f>IF(selection!H1634=1,selection!M1634,NA())</f>
        <v/>
      </c>
      <c r="V1637">
        <f>IF(selection!H1634=1,selection!N1634,NA())</f>
        <v/>
      </c>
      <c r="W1637">
        <f>IF(selection!H1634=0,selection!M1634,NA())</f>
        <v/>
      </c>
      <c r="X1637">
        <f>IF(selection!H1634=0,selection!N1634,NA())</f>
        <v/>
      </c>
    </row>
    <row r="1638">
      <c r="U1638">
        <f>IF(selection!H1635=1,selection!M1635,NA())</f>
        <v/>
      </c>
      <c r="V1638">
        <f>IF(selection!H1635=1,selection!N1635,NA())</f>
        <v/>
      </c>
      <c r="W1638">
        <f>IF(selection!H1635=0,selection!M1635,NA())</f>
        <v/>
      </c>
      <c r="X1638">
        <f>IF(selection!H1635=0,selection!N1635,NA())</f>
        <v/>
      </c>
    </row>
    <row r="1639">
      <c r="U1639">
        <f>IF(selection!H1636=1,selection!M1636,NA())</f>
        <v/>
      </c>
      <c r="V1639">
        <f>IF(selection!H1636=1,selection!N1636,NA())</f>
        <v/>
      </c>
      <c r="W1639">
        <f>IF(selection!H1636=0,selection!M1636,NA())</f>
        <v/>
      </c>
      <c r="X1639">
        <f>IF(selection!H1636=0,selection!N1636,NA())</f>
        <v/>
      </c>
    </row>
    <row r="1640">
      <c r="U1640">
        <f>IF(selection!H1637=1,selection!M1637,NA())</f>
        <v/>
      </c>
      <c r="V1640">
        <f>IF(selection!H1637=1,selection!N1637,NA())</f>
        <v/>
      </c>
      <c r="W1640">
        <f>IF(selection!H1637=0,selection!M1637,NA())</f>
        <v/>
      </c>
      <c r="X1640">
        <f>IF(selection!H1637=0,selection!N1637,NA())</f>
        <v/>
      </c>
    </row>
    <row r="1641">
      <c r="U1641">
        <f>IF(selection!H1638=1,selection!M1638,NA())</f>
        <v/>
      </c>
      <c r="V1641">
        <f>IF(selection!H1638=1,selection!N1638,NA())</f>
        <v/>
      </c>
      <c r="W1641">
        <f>IF(selection!H1638=0,selection!M1638,NA())</f>
        <v/>
      </c>
      <c r="X1641">
        <f>IF(selection!H1638=0,selection!N1638,NA())</f>
        <v/>
      </c>
    </row>
    <row r="1642">
      <c r="U1642">
        <f>IF(selection!H1639=1,selection!M1639,NA())</f>
        <v/>
      </c>
      <c r="V1642">
        <f>IF(selection!H1639=1,selection!N1639,NA())</f>
        <v/>
      </c>
      <c r="W1642">
        <f>IF(selection!H1639=0,selection!M1639,NA())</f>
        <v/>
      </c>
      <c r="X1642">
        <f>IF(selection!H1639=0,selection!N1639,NA())</f>
        <v/>
      </c>
    </row>
    <row r="1643">
      <c r="U1643">
        <f>IF(selection!H1640=1,selection!M1640,NA())</f>
        <v/>
      </c>
      <c r="V1643">
        <f>IF(selection!H1640=1,selection!N1640,NA())</f>
        <v/>
      </c>
      <c r="W1643">
        <f>IF(selection!H1640=0,selection!M1640,NA())</f>
        <v/>
      </c>
      <c r="X1643">
        <f>IF(selection!H1640=0,selection!N1640,NA())</f>
        <v/>
      </c>
    </row>
    <row r="1644">
      <c r="U1644">
        <f>IF(selection!H1641=1,selection!M1641,NA())</f>
        <v/>
      </c>
      <c r="V1644">
        <f>IF(selection!H1641=1,selection!N1641,NA())</f>
        <v/>
      </c>
      <c r="W1644">
        <f>IF(selection!H1641=0,selection!M1641,NA())</f>
        <v/>
      </c>
      <c r="X1644">
        <f>IF(selection!H1641=0,selection!N1641,NA())</f>
        <v/>
      </c>
    </row>
    <row r="1645">
      <c r="U1645">
        <f>IF(selection!H1642=1,selection!M1642,NA())</f>
        <v/>
      </c>
      <c r="V1645">
        <f>IF(selection!H1642=1,selection!N1642,NA())</f>
        <v/>
      </c>
      <c r="W1645">
        <f>IF(selection!H1642=0,selection!M1642,NA())</f>
        <v/>
      </c>
      <c r="X1645">
        <f>IF(selection!H1642=0,selection!N1642,NA())</f>
        <v/>
      </c>
    </row>
    <row r="1646">
      <c r="U1646">
        <f>IF(selection!H1643=1,selection!M1643,NA())</f>
        <v/>
      </c>
      <c r="V1646">
        <f>IF(selection!H1643=1,selection!N1643,NA())</f>
        <v/>
      </c>
      <c r="W1646">
        <f>IF(selection!H1643=0,selection!M1643,NA())</f>
        <v/>
      </c>
      <c r="X1646">
        <f>IF(selection!H1643=0,selection!N1643,NA())</f>
        <v/>
      </c>
    </row>
    <row r="1647">
      <c r="U1647">
        <f>IF(selection!H1644=1,selection!M1644,NA())</f>
        <v/>
      </c>
      <c r="V1647">
        <f>IF(selection!H1644=1,selection!N1644,NA())</f>
        <v/>
      </c>
      <c r="W1647">
        <f>IF(selection!H1644=0,selection!M1644,NA())</f>
        <v/>
      </c>
      <c r="X1647">
        <f>IF(selection!H1644=0,selection!N1644,NA())</f>
        <v/>
      </c>
    </row>
    <row r="1648">
      <c r="U1648">
        <f>IF(selection!H1645=1,selection!M1645,NA())</f>
        <v/>
      </c>
      <c r="V1648">
        <f>IF(selection!H1645=1,selection!N1645,NA())</f>
        <v/>
      </c>
      <c r="W1648">
        <f>IF(selection!H1645=0,selection!M1645,NA())</f>
        <v/>
      </c>
      <c r="X1648">
        <f>IF(selection!H1645=0,selection!N1645,NA())</f>
        <v/>
      </c>
    </row>
    <row r="1649">
      <c r="U1649">
        <f>IF(selection!H1646=1,selection!M1646,NA())</f>
        <v/>
      </c>
      <c r="V1649">
        <f>IF(selection!H1646=1,selection!N1646,NA())</f>
        <v/>
      </c>
      <c r="W1649">
        <f>IF(selection!H1646=0,selection!M1646,NA())</f>
        <v/>
      </c>
      <c r="X1649">
        <f>IF(selection!H1646=0,selection!N1646,NA())</f>
        <v/>
      </c>
    </row>
    <row r="1650">
      <c r="U1650">
        <f>IF(selection!H1647=1,selection!M1647,NA())</f>
        <v/>
      </c>
      <c r="V1650">
        <f>IF(selection!H1647=1,selection!N1647,NA())</f>
        <v/>
      </c>
      <c r="W1650">
        <f>IF(selection!H1647=0,selection!M1647,NA())</f>
        <v/>
      </c>
      <c r="X1650">
        <f>IF(selection!H1647=0,selection!N1647,NA())</f>
        <v/>
      </c>
    </row>
    <row r="1651">
      <c r="U1651">
        <f>IF(selection!H1648=1,selection!M1648,NA())</f>
        <v/>
      </c>
      <c r="V1651">
        <f>IF(selection!H1648=1,selection!N1648,NA())</f>
        <v/>
      </c>
      <c r="W1651">
        <f>IF(selection!H1648=0,selection!M1648,NA())</f>
        <v/>
      </c>
      <c r="X1651">
        <f>IF(selection!H1648=0,selection!N1648,NA())</f>
        <v/>
      </c>
    </row>
    <row r="1652">
      <c r="U1652">
        <f>IF(selection!H1649=1,selection!M1649,NA())</f>
        <v/>
      </c>
      <c r="V1652">
        <f>IF(selection!H1649=1,selection!N1649,NA())</f>
        <v/>
      </c>
      <c r="W1652">
        <f>IF(selection!H1649=0,selection!M1649,NA())</f>
        <v/>
      </c>
      <c r="X1652">
        <f>IF(selection!H1649=0,selection!N1649,NA())</f>
        <v/>
      </c>
    </row>
    <row r="1653">
      <c r="U1653">
        <f>IF(selection!H1650=1,selection!M1650,NA())</f>
        <v/>
      </c>
      <c r="V1653">
        <f>IF(selection!H1650=1,selection!N1650,NA())</f>
        <v/>
      </c>
      <c r="W1653">
        <f>IF(selection!H1650=0,selection!M1650,NA())</f>
        <v/>
      </c>
      <c r="X1653">
        <f>IF(selection!H1650=0,selection!N1650,NA())</f>
        <v/>
      </c>
    </row>
    <row r="1654">
      <c r="U1654">
        <f>IF(selection!H1651=1,selection!M1651,NA())</f>
        <v/>
      </c>
      <c r="V1654">
        <f>IF(selection!H1651=1,selection!N1651,NA())</f>
        <v/>
      </c>
      <c r="W1654">
        <f>IF(selection!H1651=0,selection!M1651,NA())</f>
        <v/>
      </c>
      <c r="X1654">
        <f>IF(selection!H1651=0,selection!N1651,NA())</f>
        <v/>
      </c>
    </row>
    <row r="1655">
      <c r="U1655">
        <f>IF(selection!H1652=1,selection!M1652,NA())</f>
        <v/>
      </c>
      <c r="V1655">
        <f>IF(selection!H1652=1,selection!N1652,NA())</f>
        <v/>
      </c>
      <c r="W1655">
        <f>IF(selection!H1652=0,selection!M1652,NA())</f>
        <v/>
      </c>
      <c r="X1655">
        <f>IF(selection!H1652=0,selection!N1652,NA())</f>
        <v/>
      </c>
    </row>
    <row r="1656">
      <c r="U1656">
        <f>IF(selection!H1653=1,selection!M1653,NA())</f>
        <v/>
      </c>
      <c r="V1656">
        <f>IF(selection!H1653=1,selection!N1653,NA())</f>
        <v/>
      </c>
      <c r="W1656">
        <f>IF(selection!H1653=0,selection!M1653,NA())</f>
        <v/>
      </c>
      <c r="X1656">
        <f>IF(selection!H1653=0,selection!N1653,NA())</f>
        <v/>
      </c>
    </row>
    <row r="1657">
      <c r="U1657">
        <f>IF(selection!H1654=1,selection!M1654,NA())</f>
        <v/>
      </c>
      <c r="V1657">
        <f>IF(selection!H1654=1,selection!N1654,NA())</f>
        <v/>
      </c>
      <c r="W1657">
        <f>IF(selection!H1654=0,selection!M1654,NA())</f>
        <v/>
      </c>
      <c r="X1657">
        <f>IF(selection!H1654=0,selection!N1654,NA())</f>
        <v/>
      </c>
    </row>
    <row r="1658">
      <c r="U1658">
        <f>IF(selection!H1655=1,selection!M1655,NA())</f>
        <v/>
      </c>
      <c r="V1658">
        <f>IF(selection!H1655=1,selection!N1655,NA())</f>
        <v/>
      </c>
      <c r="W1658">
        <f>IF(selection!H1655=0,selection!M1655,NA())</f>
        <v/>
      </c>
      <c r="X1658">
        <f>IF(selection!H1655=0,selection!N1655,NA())</f>
        <v/>
      </c>
    </row>
    <row r="1659">
      <c r="U1659">
        <f>IF(selection!H1656=1,selection!M1656,NA())</f>
        <v/>
      </c>
      <c r="V1659">
        <f>IF(selection!H1656=1,selection!N1656,NA())</f>
        <v/>
      </c>
      <c r="W1659">
        <f>IF(selection!H1656=0,selection!M1656,NA())</f>
        <v/>
      </c>
      <c r="X1659">
        <f>IF(selection!H1656=0,selection!N1656,NA())</f>
        <v/>
      </c>
    </row>
    <row r="1660">
      <c r="U1660">
        <f>IF(selection!H1657=1,selection!M1657,NA())</f>
        <v/>
      </c>
      <c r="V1660">
        <f>IF(selection!H1657=1,selection!N1657,NA())</f>
        <v/>
      </c>
      <c r="W1660">
        <f>IF(selection!H1657=0,selection!M1657,NA())</f>
        <v/>
      </c>
      <c r="X1660">
        <f>IF(selection!H1657=0,selection!N1657,NA())</f>
        <v/>
      </c>
    </row>
    <row r="1661">
      <c r="U1661">
        <f>IF(selection!H1658=1,selection!M1658,NA())</f>
        <v/>
      </c>
      <c r="V1661">
        <f>IF(selection!H1658=1,selection!N1658,NA())</f>
        <v/>
      </c>
      <c r="W1661">
        <f>IF(selection!H1658=0,selection!M1658,NA())</f>
        <v/>
      </c>
      <c r="X1661">
        <f>IF(selection!H1658=0,selection!N1658,NA())</f>
        <v/>
      </c>
    </row>
    <row r="1662">
      <c r="U1662">
        <f>IF(selection!H1659=1,selection!M1659,NA())</f>
        <v/>
      </c>
      <c r="V1662">
        <f>IF(selection!H1659=1,selection!N1659,NA())</f>
        <v/>
      </c>
      <c r="W1662">
        <f>IF(selection!H1659=0,selection!M1659,NA())</f>
        <v/>
      </c>
      <c r="X1662">
        <f>IF(selection!H1659=0,selection!N1659,NA())</f>
        <v/>
      </c>
    </row>
    <row r="1663">
      <c r="U1663">
        <f>IF(selection!H1660=1,selection!M1660,NA())</f>
        <v/>
      </c>
      <c r="V1663">
        <f>IF(selection!H1660=1,selection!N1660,NA())</f>
        <v/>
      </c>
      <c r="W1663">
        <f>IF(selection!H1660=0,selection!M1660,NA())</f>
        <v/>
      </c>
      <c r="X1663">
        <f>IF(selection!H1660=0,selection!N1660,NA())</f>
        <v/>
      </c>
    </row>
    <row r="1664">
      <c r="U1664">
        <f>IF(selection!H1661=1,selection!M1661,NA())</f>
        <v/>
      </c>
      <c r="V1664">
        <f>IF(selection!H1661=1,selection!N1661,NA())</f>
        <v/>
      </c>
      <c r="W1664">
        <f>IF(selection!H1661=0,selection!M1661,NA())</f>
        <v/>
      </c>
      <c r="X1664">
        <f>IF(selection!H1661=0,selection!N1661,NA())</f>
        <v/>
      </c>
    </row>
    <row r="1665">
      <c r="U1665">
        <f>IF(selection!H1662=1,selection!M1662,NA())</f>
        <v/>
      </c>
      <c r="V1665">
        <f>IF(selection!H1662=1,selection!N1662,NA())</f>
        <v/>
      </c>
      <c r="W1665">
        <f>IF(selection!H1662=0,selection!M1662,NA())</f>
        <v/>
      </c>
      <c r="X1665">
        <f>IF(selection!H1662=0,selection!N1662,NA())</f>
        <v/>
      </c>
    </row>
    <row r="1666">
      <c r="U1666">
        <f>IF(selection!H1663=1,selection!M1663,NA())</f>
        <v/>
      </c>
      <c r="V1666">
        <f>IF(selection!H1663=1,selection!N1663,NA())</f>
        <v/>
      </c>
      <c r="W1666">
        <f>IF(selection!H1663=0,selection!M1663,NA())</f>
        <v/>
      </c>
      <c r="X1666">
        <f>IF(selection!H1663=0,selection!N1663,NA())</f>
        <v/>
      </c>
    </row>
    <row r="1667">
      <c r="U1667">
        <f>IF(selection!H1664=1,selection!M1664,NA())</f>
        <v/>
      </c>
      <c r="V1667">
        <f>IF(selection!H1664=1,selection!N1664,NA())</f>
        <v/>
      </c>
      <c r="W1667">
        <f>IF(selection!H1664=0,selection!M1664,NA())</f>
        <v/>
      </c>
      <c r="X1667">
        <f>IF(selection!H1664=0,selection!N1664,NA())</f>
        <v/>
      </c>
    </row>
    <row r="1668">
      <c r="U1668">
        <f>IF(selection!H1665=1,selection!M1665,NA())</f>
        <v/>
      </c>
      <c r="V1668">
        <f>IF(selection!H1665=1,selection!N1665,NA())</f>
        <v/>
      </c>
      <c r="W1668">
        <f>IF(selection!H1665=0,selection!M1665,NA())</f>
        <v/>
      </c>
      <c r="X1668">
        <f>IF(selection!H1665=0,selection!N1665,NA())</f>
        <v/>
      </c>
    </row>
    <row r="1669">
      <c r="U1669">
        <f>IF(selection!H1666=1,selection!M1666,NA())</f>
        <v/>
      </c>
      <c r="V1669">
        <f>IF(selection!H1666=1,selection!N1666,NA())</f>
        <v/>
      </c>
      <c r="W1669">
        <f>IF(selection!H1666=0,selection!M1666,NA())</f>
        <v/>
      </c>
      <c r="X1669">
        <f>IF(selection!H1666=0,selection!N1666,NA())</f>
        <v/>
      </c>
    </row>
    <row r="1670">
      <c r="U1670">
        <f>IF(selection!H1667=1,selection!M1667,NA())</f>
        <v/>
      </c>
      <c r="V1670">
        <f>IF(selection!H1667=1,selection!N1667,NA())</f>
        <v/>
      </c>
      <c r="W1670">
        <f>IF(selection!H1667=0,selection!M1667,NA())</f>
        <v/>
      </c>
      <c r="X1670">
        <f>IF(selection!H1667=0,selection!N1667,NA())</f>
        <v/>
      </c>
    </row>
    <row r="1671">
      <c r="U1671">
        <f>IF(selection!H1668=1,selection!M1668,NA())</f>
        <v/>
      </c>
      <c r="V1671">
        <f>IF(selection!H1668=1,selection!N1668,NA())</f>
        <v/>
      </c>
      <c r="W1671">
        <f>IF(selection!H1668=0,selection!M1668,NA())</f>
        <v/>
      </c>
      <c r="X1671">
        <f>IF(selection!H1668=0,selection!N1668,NA())</f>
        <v/>
      </c>
    </row>
    <row r="1672">
      <c r="U1672">
        <f>IF(selection!H1669=1,selection!M1669,NA())</f>
        <v/>
      </c>
      <c r="V1672">
        <f>IF(selection!H1669=1,selection!N1669,NA())</f>
        <v/>
      </c>
      <c r="W1672">
        <f>IF(selection!H1669=0,selection!M1669,NA())</f>
        <v/>
      </c>
      <c r="X1672">
        <f>IF(selection!H1669=0,selection!N1669,NA())</f>
        <v/>
      </c>
    </row>
    <row r="1673">
      <c r="U1673">
        <f>IF(selection!H1670=1,selection!M1670,NA())</f>
        <v/>
      </c>
      <c r="V1673">
        <f>IF(selection!H1670=1,selection!N1670,NA())</f>
        <v/>
      </c>
      <c r="W1673">
        <f>IF(selection!H1670=0,selection!M1670,NA())</f>
        <v/>
      </c>
      <c r="X1673">
        <f>IF(selection!H1670=0,selection!N1670,NA())</f>
        <v/>
      </c>
    </row>
    <row r="1674">
      <c r="U1674">
        <f>IF(selection!H1671=1,selection!M1671,NA())</f>
        <v/>
      </c>
      <c r="V1674">
        <f>IF(selection!H1671=1,selection!N1671,NA())</f>
        <v/>
      </c>
      <c r="W1674">
        <f>IF(selection!H1671=0,selection!M1671,NA())</f>
        <v/>
      </c>
      <c r="X1674">
        <f>IF(selection!H1671=0,selection!N1671,NA())</f>
        <v/>
      </c>
    </row>
    <row r="1675">
      <c r="U1675">
        <f>IF(selection!H1672=1,selection!M1672,NA())</f>
        <v/>
      </c>
      <c r="V1675">
        <f>IF(selection!H1672=1,selection!N1672,NA())</f>
        <v/>
      </c>
      <c r="W1675">
        <f>IF(selection!H1672=0,selection!M1672,NA())</f>
        <v/>
      </c>
      <c r="X1675">
        <f>IF(selection!H1672=0,selection!N1672,NA())</f>
        <v/>
      </c>
    </row>
    <row r="1676">
      <c r="U1676">
        <f>IF(selection!H1673=1,selection!M1673,NA())</f>
        <v/>
      </c>
      <c r="V1676">
        <f>IF(selection!H1673=1,selection!N1673,NA())</f>
        <v/>
      </c>
      <c r="W1676">
        <f>IF(selection!H1673=0,selection!M1673,NA())</f>
        <v/>
      </c>
      <c r="X1676">
        <f>IF(selection!H1673=0,selection!N1673,NA())</f>
        <v/>
      </c>
    </row>
    <row r="1677">
      <c r="U1677">
        <f>IF(selection!H1674=1,selection!M1674,NA())</f>
        <v/>
      </c>
      <c r="V1677">
        <f>IF(selection!H1674=1,selection!N1674,NA())</f>
        <v/>
      </c>
      <c r="W1677">
        <f>IF(selection!H1674=0,selection!M1674,NA())</f>
        <v/>
      </c>
      <c r="X1677">
        <f>IF(selection!H1674=0,selection!N1674,NA())</f>
        <v/>
      </c>
    </row>
    <row r="1678">
      <c r="U1678">
        <f>IF(selection!H1675=1,selection!M1675,NA())</f>
        <v/>
      </c>
      <c r="V1678">
        <f>IF(selection!H1675=1,selection!N1675,NA())</f>
        <v/>
      </c>
      <c r="W1678">
        <f>IF(selection!H1675=0,selection!M1675,NA())</f>
        <v/>
      </c>
      <c r="X1678">
        <f>IF(selection!H1675=0,selection!N1675,NA())</f>
        <v/>
      </c>
    </row>
    <row r="1679">
      <c r="U1679">
        <f>IF(selection!H1676=1,selection!M1676,NA())</f>
        <v/>
      </c>
      <c r="V1679">
        <f>IF(selection!H1676=1,selection!N1676,NA())</f>
        <v/>
      </c>
      <c r="W1679">
        <f>IF(selection!H1676=0,selection!M1676,NA())</f>
        <v/>
      </c>
      <c r="X1679">
        <f>IF(selection!H1676=0,selection!N1676,NA())</f>
        <v/>
      </c>
    </row>
    <row r="1680">
      <c r="U1680">
        <f>IF(selection!H1677=1,selection!M1677,NA())</f>
        <v/>
      </c>
      <c r="V1680">
        <f>IF(selection!H1677=1,selection!N1677,NA())</f>
        <v/>
      </c>
      <c r="W1680">
        <f>IF(selection!H1677=0,selection!M1677,NA())</f>
        <v/>
      </c>
      <c r="X1680">
        <f>IF(selection!H1677=0,selection!N1677,NA())</f>
        <v/>
      </c>
    </row>
    <row r="1681">
      <c r="U1681">
        <f>IF(selection!H1678=1,selection!M1678,NA())</f>
        <v/>
      </c>
      <c r="V1681">
        <f>IF(selection!H1678=1,selection!N1678,NA())</f>
        <v/>
      </c>
      <c r="W1681">
        <f>IF(selection!H1678=0,selection!M1678,NA())</f>
        <v/>
      </c>
      <c r="X1681">
        <f>IF(selection!H1678=0,selection!N1678,NA())</f>
        <v/>
      </c>
    </row>
    <row r="1682">
      <c r="U1682">
        <f>IF(selection!H1679=1,selection!M1679,NA())</f>
        <v/>
      </c>
      <c r="V1682">
        <f>IF(selection!H1679=1,selection!N1679,NA())</f>
        <v/>
      </c>
      <c r="W1682">
        <f>IF(selection!H1679=0,selection!M1679,NA())</f>
        <v/>
      </c>
      <c r="X1682">
        <f>IF(selection!H1679=0,selection!N1679,NA())</f>
        <v/>
      </c>
    </row>
    <row r="1683">
      <c r="U1683">
        <f>IF(selection!H1680=1,selection!M1680,NA())</f>
        <v/>
      </c>
      <c r="V1683">
        <f>IF(selection!H1680=1,selection!N1680,NA())</f>
        <v/>
      </c>
      <c r="W1683">
        <f>IF(selection!H1680=0,selection!M1680,NA())</f>
        <v/>
      </c>
      <c r="X1683">
        <f>IF(selection!H1680=0,selection!N1680,NA())</f>
        <v/>
      </c>
    </row>
    <row r="1684">
      <c r="U1684">
        <f>IF(selection!H1681=1,selection!M1681,NA())</f>
        <v/>
      </c>
      <c r="V1684">
        <f>IF(selection!H1681=1,selection!N1681,NA())</f>
        <v/>
      </c>
      <c r="W1684">
        <f>IF(selection!H1681=0,selection!M1681,NA())</f>
        <v/>
      </c>
      <c r="X1684">
        <f>IF(selection!H1681=0,selection!N1681,NA())</f>
        <v/>
      </c>
    </row>
    <row r="1685">
      <c r="U1685">
        <f>IF(selection!H1682=1,selection!M1682,NA())</f>
        <v/>
      </c>
      <c r="V1685">
        <f>IF(selection!H1682=1,selection!N1682,NA())</f>
        <v/>
      </c>
      <c r="W1685">
        <f>IF(selection!H1682=0,selection!M1682,NA())</f>
        <v/>
      </c>
      <c r="X1685">
        <f>IF(selection!H1682=0,selection!N1682,NA())</f>
        <v/>
      </c>
    </row>
    <row r="1686">
      <c r="U1686">
        <f>IF(selection!H1683=1,selection!M1683,NA())</f>
        <v/>
      </c>
      <c r="V1686">
        <f>IF(selection!H1683=1,selection!N1683,NA())</f>
        <v/>
      </c>
      <c r="W1686">
        <f>IF(selection!H1683=0,selection!M1683,NA())</f>
        <v/>
      </c>
      <c r="X1686">
        <f>IF(selection!H1683=0,selection!N1683,NA())</f>
        <v/>
      </c>
    </row>
    <row r="1687">
      <c r="U1687">
        <f>IF(selection!H1684=1,selection!M1684,NA())</f>
        <v/>
      </c>
      <c r="V1687">
        <f>IF(selection!H1684=1,selection!N1684,NA())</f>
        <v/>
      </c>
      <c r="W1687">
        <f>IF(selection!H1684=0,selection!M1684,NA())</f>
        <v/>
      </c>
      <c r="X1687">
        <f>IF(selection!H1684=0,selection!N1684,NA())</f>
        <v/>
      </c>
    </row>
    <row r="1688">
      <c r="U1688">
        <f>IF(selection!H1685=1,selection!M1685,NA())</f>
        <v/>
      </c>
      <c r="V1688">
        <f>IF(selection!H1685=1,selection!N1685,NA())</f>
        <v/>
      </c>
      <c r="W1688">
        <f>IF(selection!H1685=0,selection!M1685,NA())</f>
        <v/>
      </c>
      <c r="X1688">
        <f>IF(selection!H1685=0,selection!N1685,NA())</f>
        <v/>
      </c>
    </row>
    <row r="1689">
      <c r="U1689">
        <f>IF(selection!H1686=1,selection!M1686,NA())</f>
        <v/>
      </c>
      <c r="V1689">
        <f>IF(selection!H1686=1,selection!N1686,NA())</f>
        <v/>
      </c>
      <c r="W1689">
        <f>IF(selection!H1686=0,selection!M1686,NA())</f>
        <v/>
      </c>
      <c r="X1689">
        <f>IF(selection!H1686=0,selection!N1686,NA())</f>
        <v/>
      </c>
    </row>
    <row r="1690">
      <c r="U1690">
        <f>IF(selection!H1687=1,selection!M1687,NA())</f>
        <v/>
      </c>
      <c r="V1690">
        <f>IF(selection!H1687=1,selection!N1687,NA())</f>
        <v/>
      </c>
      <c r="W1690">
        <f>IF(selection!H1687=0,selection!M1687,NA())</f>
        <v/>
      </c>
      <c r="X1690">
        <f>IF(selection!H1687=0,selection!N1687,NA())</f>
        <v/>
      </c>
    </row>
    <row r="1691">
      <c r="U1691">
        <f>IF(selection!H1688=1,selection!M1688,NA())</f>
        <v/>
      </c>
      <c r="V1691">
        <f>IF(selection!H1688=1,selection!N1688,NA())</f>
        <v/>
      </c>
      <c r="W1691">
        <f>IF(selection!H1688=0,selection!M1688,NA())</f>
        <v/>
      </c>
      <c r="X1691">
        <f>IF(selection!H1688=0,selection!N1688,NA())</f>
        <v/>
      </c>
    </row>
    <row r="1692">
      <c r="U1692">
        <f>IF(selection!H1689=1,selection!M1689,NA())</f>
        <v/>
      </c>
      <c r="V1692">
        <f>IF(selection!H1689=1,selection!N1689,NA())</f>
        <v/>
      </c>
      <c r="W1692">
        <f>IF(selection!H1689=0,selection!M1689,NA())</f>
        <v/>
      </c>
      <c r="X1692">
        <f>IF(selection!H1689=0,selection!N1689,NA())</f>
        <v/>
      </c>
    </row>
    <row r="1693">
      <c r="U1693">
        <f>IF(selection!H1690=1,selection!M1690,NA())</f>
        <v/>
      </c>
      <c r="V1693">
        <f>IF(selection!H1690=1,selection!N1690,NA())</f>
        <v/>
      </c>
      <c r="W1693">
        <f>IF(selection!H1690=0,selection!M1690,NA())</f>
        <v/>
      </c>
      <c r="X1693">
        <f>IF(selection!H1690=0,selection!N1690,NA())</f>
        <v/>
      </c>
    </row>
    <row r="1694">
      <c r="U1694">
        <f>IF(selection!H1691=1,selection!M1691,NA())</f>
        <v/>
      </c>
      <c r="V1694">
        <f>IF(selection!H1691=1,selection!N1691,NA())</f>
        <v/>
      </c>
      <c r="W1694">
        <f>IF(selection!H1691=0,selection!M1691,NA())</f>
        <v/>
      </c>
      <c r="X1694">
        <f>IF(selection!H1691=0,selection!N1691,NA())</f>
        <v/>
      </c>
    </row>
    <row r="1695">
      <c r="U1695">
        <f>IF(selection!H1692=1,selection!M1692,NA())</f>
        <v/>
      </c>
      <c r="V1695">
        <f>IF(selection!H1692=1,selection!N1692,NA())</f>
        <v/>
      </c>
      <c r="W1695">
        <f>IF(selection!H1692=0,selection!M1692,NA())</f>
        <v/>
      </c>
      <c r="X1695">
        <f>IF(selection!H1692=0,selection!N1692,NA())</f>
        <v/>
      </c>
    </row>
    <row r="1696">
      <c r="U1696">
        <f>IF(selection!H1693=1,selection!M1693,NA())</f>
        <v/>
      </c>
      <c r="V1696">
        <f>IF(selection!H1693=1,selection!N1693,NA())</f>
        <v/>
      </c>
      <c r="W1696">
        <f>IF(selection!H1693=0,selection!M1693,NA())</f>
        <v/>
      </c>
      <c r="X1696">
        <f>IF(selection!H1693=0,selection!N1693,NA())</f>
        <v/>
      </c>
    </row>
    <row r="1697">
      <c r="U1697">
        <f>IF(selection!H1694=1,selection!M1694,NA())</f>
        <v/>
      </c>
      <c r="V1697">
        <f>IF(selection!H1694=1,selection!N1694,NA())</f>
        <v/>
      </c>
      <c r="W1697">
        <f>IF(selection!H1694=0,selection!M1694,NA())</f>
        <v/>
      </c>
      <c r="X1697">
        <f>IF(selection!H1694=0,selection!N1694,NA())</f>
        <v/>
      </c>
    </row>
    <row r="1698">
      <c r="U1698">
        <f>IF(selection!H1695=1,selection!M1695,NA())</f>
        <v/>
      </c>
      <c r="V1698">
        <f>IF(selection!H1695=1,selection!N1695,NA())</f>
        <v/>
      </c>
      <c r="W1698">
        <f>IF(selection!H1695=0,selection!M1695,NA())</f>
        <v/>
      </c>
      <c r="X1698">
        <f>IF(selection!H1695=0,selection!N1695,NA())</f>
        <v/>
      </c>
    </row>
    <row r="1699">
      <c r="U1699">
        <f>IF(selection!H1696=1,selection!M1696,NA())</f>
        <v/>
      </c>
      <c r="V1699">
        <f>IF(selection!H1696=1,selection!N1696,NA())</f>
        <v/>
      </c>
      <c r="W1699">
        <f>IF(selection!H1696=0,selection!M1696,NA())</f>
        <v/>
      </c>
      <c r="X1699">
        <f>IF(selection!H1696=0,selection!N1696,NA())</f>
        <v/>
      </c>
    </row>
    <row r="1700">
      <c r="U1700">
        <f>IF(selection!H1697=1,selection!M1697,NA())</f>
        <v/>
      </c>
      <c r="V1700">
        <f>IF(selection!H1697=1,selection!N1697,NA())</f>
        <v/>
      </c>
      <c r="W1700">
        <f>IF(selection!H1697=0,selection!M1697,NA())</f>
        <v/>
      </c>
      <c r="X1700">
        <f>IF(selection!H1697=0,selection!N1697,NA())</f>
        <v/>
      </c>
    </row>
    <row r="1701">
      <c r="U1701">
        <f>IF(selection!H1698=1,selection!M1698,NA())</f>
        <v/>
      </c>
      <c r="V1701">
        <f>IF(selection!H1698=1,selection!N1698,NA())</f>
        <v/>
      </c>
      <c r="W1701">
        <f>IF(selection!H1698=0,selection!M1698,NA())</f>
        <v/>
      </c>
      <c r="X1701">
        <f>IF(selection!H1698=0,selection!N1698,NA())</f>
        <v/>
      </c>
    </row>
    <row r="1702">
      <c r="U1702">
        <f>IF(selection!H1699=1,selection!M1699,NA())</f>
        <v/>
      </c>
      <c r="V1702">
        <f>IF(selection!H1699=1,selection!N1699,NA())</f>
        <v/>
      </c>
      <c r="W1702">
        <f>IF(selection!H1699=0,selection!M1699,NA())</f>
        <v/>
      </c>
      <c r="X1702">
        <f>IF(selection!H1699=0,selection!N1699,NA())</f>
        <v/>
      </c>
    </row>
    <row r="1703">
      <c r="U1703">
        <f>IF(selection!H1700=1,selection!M1700,NA())</f>
        <v/>
      </c>
      <c r="V1703">
        <f>IF(selection!H1700=1,selection!N1700,NA())</f>
        <v/>
      </c>
      <c r="W1703">
        <f>IF(selection!H1700=0,selection!M1700,NA())</f>
        <v/>
      </c>
      <c r="X1703">
        <f>IF(selection!H1700=0,selection!N1700,NA())</f>
        <v/>
      </c>
    </row>
    <row r="1704">
      <c r="U1704">
        <f>IF(selection!H1701=1,selection!M1701,NA())</f>
        <v/>
      </c>
      <c r="V1704">
        <f>IF(selection!H1701=1,selection!N1701,NA())</f>
        <v/>
      </c>
      <c r="W1704">
        <f>IF(selection!H1701=0,selection!M1701,NA())</f>
        <v/>
      </c>
      <c r="X1704">
        <f>IF(selection!H1701=0,selection!N1701,NA())</f>
        <v/>
      </c>
    </row>
    <row r="1705">
      <c r="U1705">
        <f>IF(selection!H1702=1,selection!M1702,NA())</f>
        <v/>
      </c>
      <c r="V1705">
        <f>IF(selection!H1702=1,selection!N1702,NA())</f>
        <v/>
      </c>
      <c r="W1705">
        <f>IF(selection!H1702=0,selection!M1702,NA())</f>
        <v/>
      </c>
      <c r="X1705">
        <f>IF(selection!H1702=0,selection!N1702,NA())</f>
        <v/>
      </c>
    </row>
    <row r="1706">
      <c r="U1706">
        <f>IF(selection!H1703=1,selection!M1703,NA())</f>
        <v/>
      </c>
      <c r="V1706">
        <f>IF(selection!H1703=1,selection!N1703,NA())</f>
        <v/>
      </c>
      <c r="W1706">
        <f>IF(selection!H1703=0,selection!M1703,NA())</f>
        <v/>
      </c>
      <c r="X1706">
        <f>IF(selection!H1703=0,selection!N1703,NA())</f>
        <v/>
      </c>
    </row>
    <row r="1707">
      <c r="U1707">
        <f>IF(selection!H1704=1,selection!M1704,NA())</f>
        <v/>
      </c>
      <c r="V1707">
        <f>IF(selection!H1704=1,selection!N1704,NA())</f>
        <v/>
      </c>
      <c r="W1707">
        <f>IF(selection!H1704=0,selection!M1704,NA())</f>
        <v/>
      </c>
      <c r="X1707">
        <f>IF(selection!H1704=0,selection!N1704,NA())</f>
        <v/>
      </c>
    </row>
    <row r="1708">
      <c r="U1708">
        <f>IF(selection!H1705=1,selection!M1705,NA())</f>
        <v/>
      </c>
      <c r="V1708">
        <f>IF(selection!H1705=1,selection!N1705,NA())</f>
        <v/>
      </c>
      <c r="W1708">
        <f>IF(selection!H1705=0,selection!M1705,NA())</f>
        <v/>
      </c>
      <c r="X1708">
        <f>IF(selection!H1705=0,selection!N1705,NA())</f>
        <v/>
      </c>
    </row>
    <row r="1709">
      <c r="U1709">
        <f>IF(selection!H1706=1,selection!M1706,NA())</f>
        <v/>
      </c>
      <c r="V1709">
        <f>IF(selection!H1706=1,selection!N1706,NA())</f>
        <v/>
      </c>
      <c r="W1709">
        <f>IF(selection!H1706=0,selection!M1706,NA())</f>
        <v/>
      </c>
      <c r="X1709">
        <f>IF(selection!H1706=0,selection!N1706,NA())</f>
        <v/>
      </c>
    </row>
    <row r="1710">
      <c r="U1710">
        <f>IF(selection!H1707=1,selection!M1707,NA())</f>
        <v/>
      </c>
      <c r="V1710">
        <f>IF(selection!H1707=1,selection!N1707,NA())</f>
        <v/>
      </c>
      <c r="W1710">
        <f>IF(selection!H1707=0,selection!M1707,NA())</f>
        <v/>
      </c>
      <c r="X1710">
        <f>IF(selection!H1707=0,selection!N1707,NA())</f>
        <v/>
      </c>
    </row>
    <row r="1711">
      <c r="U1711">
        <f>IF(selection!H1708=1,selection!M1708,NA())</f>
        <v/>
      </c>
      <c r="V1711">
        <f>IF(selection!H1708=1,selection!N1708,NA())</f>
        <v/>
      </c>
      <c r="W1711">
        <f>IF(selection!H1708=0,selection!M1708,NA())</f>
        <v/>
      </c>
      <c r="X1711">
        <f>IF(selection!H1708=0,selection!N1708,NA())</f>
        <v/>
      </c>
    </row>
    <row r="1712">
      <c r="U1712">
        <f>IF(selection!H1709=1,selection!M1709,NA())</f>
        <v/>
      </c>
      <c r="V1712">
        <f>IF(selection!H1709=1,selection!N1709,NA())</f>
        <v/>
      </c>
      <c r="W1712">
        <f>IF(selection!H1709=0,selection!M1709,NA())</f>
        <v/>
      </c>
      <c r="X1712">
        <f>IF(selection!H1709=0,selection!N1709,NA())</f>
        <v/>
      </c>
    </row>
    <row r="1713">
      <c r="U1713">
        <f>IF(selection!H1710=1,selection!M1710,NA())</f>
        <v/>
      </c>
      <c r="V1713">
        <f>IF(selection!H1710=1,selection!N1710,NA())</f>
        <v/>
      </c>
      <c r="W1713">
        <f>IF(selection!H1710=0,selection!M1710,NA())</f>
        <v/>
      </c>
      <c r="X1713">
        <f>IF(selection!H1710=0,selection!N1710,NA())</f>
        <v/>
      </c>
    </row>
    <row r="1714">
      <c r="U1714">
        <f>IF(selection!H1711=1,selection!M1711,NA())</f>
        <v/>
      </c>
      <c r="V1714">
        <f>IF(selection!H1711=1,selection!N1711,NA())</f>
        <v/>
      </c>
      <c r="W1714">
        <f>IF(selection!H1711=0,selection!M1711,NA())</f>
        <v/>
      </c>
      <c r="X1714">
        <f>IF(selection!H1711=0,selection!N1711,NA())</f>
        <v/>
      </c>
    </row>
    <row r="1715">
      <c r="U1715">
        <f>IF(selection!H1712=1,selection!M1712,NA())</f>
        <v/>
      </c>
      <c r="V1715">
        <f>IF(selection!H1712=1,selection!N1712,NA())</f>
        <v/>
      </c>
      <c r="W1715">
        <f>IF(selection!H1712=0,selection!M1712,NA())</f>
        <v/>
      </c>
      <c r="X1715">
        <f>IF(selection!H1712=0,selection!N1712,NA())</f>
        <v/>
      </c>
    </row>
    <row r="1716">
      <c r="U1716">
        <f>IF(selection!H1713=1,selection!M1713,NA())</f>
        <v/>
      </c>
      <c r="V1716">
        <f>IF(selection!H1713=1,selection!N1713,NA())</f>
        <v/>
      </c>
      <c r="W1716">
        <f>IF(selection!H1713=0,selection!M1713,NA())</f>
        <v/>
      </c>
      <c r="X1716">
        <f>IF(selection!H1713=0,selection!N1713,NA())</f>
        <v/>
      </c>
    </row>
    <row r="1717">
      <c r="U1717">
        <f>IF(selection!H1714=1,selection!M1714,NA())</f>
        <v/>
      </c>
      <c r="V1717">
        <f>IF(selection!H1714=1,selection!N1714,NA())</f>
        <v/>
      </c>
      <c r="W1717">
        <f>IF(selection!H1714=0,selection!M1714,NA())</f>
        <v/>
      </c>
      <c r="X1717">
        <f>IF(selection!H1714=0,selection!N1714,NA())</f>
        <v/>
      </c>
    </row>
    <row r="1718">
      <c r="U1718">
        <f>IF(selection!H1715=1,selection!M1715,NA())</f>
        <v/>
      </c>
      <c r="V1718">
        <f>IF(selection!H1715=1,selection!N1715,NA())</f>
        <v/>
      </c>
      <c r="W1718">
        <f>IF(selection!H1715=0,selection!M1715,NA())</f>
        <v/>
      </c>
      <c r="X1718">
        <f>IF(selection!H1715=0,selection!N1715,NA())</f>
        <v/>
      </c>
    </row>
    <row r="1719">
      <c r="U1719">
        <f>IF(selection!H1716=1,selection!M1716,NA())</f>
        <v/>
      </c>
      <c r="V1719">
        <f>IF(selection!H1716=1,selection!N1716,NA())</f>
        <v/>
      </c>
      <c r="W1719">
        <f>IF(selection!H1716=0,selection!M1716,NA())</f>
        <v/>
      </c>
      <c r="X1719">
        <f>IF(selection!H1716=0,selection!N1716,NA())</f>
        <v/>
      </c>
    </row>
    <row r="1720">
      <c r="U1720">
        <f>IF(selection!H1717=1,selection!M1717,NA())</f>
        <v/>
      </c>
      <c r="V1720">
        <f>IF(selection!H1717=1,selection!N1717,NA())</f>
        <v/>
      </c>
      <c r="W1720">
        <f>IF(selection!H1717=0,selection!M1717,NA())</f>
        <v/>
      </c>
      <c r="X1720">
        <f>IF(selection!H1717=0,selection!N1717,NA())</f>
        <v/>
      </c>
    </row>
    <row r="1721">
      <c r="U1721">
        <f>IF(selection!H1718=1,selection!M1718,NA())</f>
        <v/>
      </c>
      <c r="V1721">
        <f>IF(selection!H1718=1,selection!N1718,NA())</f>
        <v/>
      </c>
      <c r="W1721">
        <f>IF(selection!H1718=0,selection!M1718,NA())</f>
        <v/>
      </c>
      <c r="X1721">
        <f>IF(selection!H1718=0,selection!N1718,NA())</f>
        <v/>
      </c>
    </row>
    <row r="1722">
      <c r="U1722">
        <f>IF(selection!H1719=1,selection!M1719,NA())</f>
        <v/>
      </c>
      <c r="V1722">
        <f>IF(selection!H1719=1,selection!N1719,NA())</f>
        <v/>
      </c>
      <c r="W1722">
        <f>IF(selection!H1719=0,selection!M1719,NA())</f>
        <v/>
      </c>
      <c r="X1722">
        <f>IF(selection!H1719=0,selection!N1719,NA())</f>
        <v/>
      </c>
    </row>
    <row r="1723">
      <c r="U1723">
        <f>IF(selection!H1720=1,selection!M1720,NA())</f>
        <v/>
      </c>
      <c r="V1723">
        <f>IF(selection!H1720=1,selection!N1720,NA())</f>
        <v/>
      </c>
      <c r="W1723">
        <f>IF(selection!H1720=0,selection!M1720,NA())</f>
        <v/>
      </c>
      <c r="X1723">
        <f>IF(selection!H1720=0,selection!N1720,NA())</f>
        <v/>
      </c>
    </row>
    <row r="1724">
      <c r="U1724">
        <f>IF(selection!H1721=1,selection!M1721,NA())</f>
        <v/>
      </c>
      <c r="V1724">
        <f>IF(selection!H1721=1,selection!N1721,NA())</f>
        <v/>
      </c>
      <c r="W1724">
        <f>IF(selection!H1721=0,selection!M1721,NA())</f>
        <v/>
      </c>
      <c r="X1724">
        <f>IF(selection!H1721=0,selection!N1721,NA())</f>
        <v/>
      </c>
    </row>
    <row r="1725">
      <c r="U1725">
        <f>IF(selection!H1722=1,selection!M1722,NA())</f>
        <v/>
      </c>
      <c r="V1725">
        <f>IF(selection!H1722=1,selection!N1722,NA())</f>
        <v/>
      </c>
      <c r="W1725">
        <f>IF(selection!H1722=0,selection!M1722,NA())</f>
        <v/>
      </c>
      <c r="X1725">
        <f>IF(selection!H1722=0,selection!N1722,NA())</f>
        <v/>
      </c>
    </row>
    <row r="1726">
      <c r="U1726">
        <f>IF(selection!H1723=1,selection!M1723,NA())</f>
        <v/>
      </c>
      <c r="V1726">
        <f>IF(selection!H1723=1,selection!N1723,NA())</f>
        <v/>
      </c>
      <c r="W1726">
        <f>IF(selection!H1723=0,selection!M1723,NA())</f>
        <v/>
      </c>
      <c r="X1726">
        <f>IF(selection!H1723=0,selection!N1723,NA())</f>
        <v/>
      </c>
    </row>
    <row r="1727">
      <c r="U1727">
        <f>IF(selection!H1724=1,selection!M1724,NA())</f>
        <v/>
      </c>
      <c r="V1727">
        <f>IF(selection!H1724=1,selection!N1724,NA())</f>
        <v/>
      </c>
      <c r="W1727">
        <f>IF(selection!H1724=0,selection!M1724,NA())</f>
        <v/>
      </c>
      <c r="X1727">
        <f>IF(selection!H1724=0,selection!N1724,NA())</f>
        <v/>
      </c>
    </row>
    <row r="1728">
      <c r="U1728">
        <f>IF(selection!H1725=1,selection!M1725,NA())</f>
        <v/>
      </c>
      <c r="V1728">
        <f>IF(selection!H1725=1,selection!N1725,NA())</f>
        <v/>
      </c>
      <c r="W1728">
        <f>IF(selection!H1725=0,selection!M1725,NA())</f>
        <v/>
      </c>
      <c r="X1728">
        <f>IF(selection!H1725=0,selection!N1725,NA())</f>
        <v/>
      </c>
    </row>
    <row r="1729">
      <c r="U1729">
        <f>IF(selection!H1726=1,selection!M1726,NA())</f>
        <v/>
      </c>
      <c r="V1729">
        <f>IF(selection!H1726=1,selection!N1726,NA())</f>
        <v/>
      </c>
      <c r="W1729">
        <f>IF(selection!H1726=0,selection!M1726,NA())</f>
        <v/>
      </c>
      <c r="X1729">
        <f>IF(selection!H1726=0,selection!N1726,NA())</f>
        <v/>
      </c>
    </row>
    <row r="1730">
      <c r="U1730">
        <f>IF(selection!H1727=1,selection!M1727,NA())</f>
        <v/>
      </c>
      <c r="V1730">
        <f>IF(selection!H1727=1,selection!N1727,NA())</f>
        <v/>
      </c>
      <c r="W1730">
        <f>IF(selection!H1727=0,selection!M1727,NA())</f>
        <v/>
      </c>
      <c r="X1730">
        <f>IF(selection!H1727=0,selection!N1727,NA())</f>
        <v/>
      </c>
    </row>
    <row r="1731">
      <c r="U1731">
        <f>IF(selection!H1728=1,selection!M1728,NA())</f>
        <v/>
      </c>
      <c r="V1731">
        <f>IF(selection!H1728=1,selection!N1728,NA())</f>
        <v/>
      </c>
      <c r="W1731">
        <f>IF(selection!H1728=0,selection!M1728,NA())</f>
        <v/>
      </c>
      <c r="X1731">
        <f>IF(selection!H1728=0,selection!N1728,NA())</f>
        <v/>
      </c>
    </row>
    <row r="1732">
      <c r="U1732">
        <f>IF(selection!H1729=1,selection!M1729,NA())</f>
        <v/>
      </c>
      <c r="V1732">
        <f>IF(selection!H1729=1,selection!N1729,NA())</f>
        <v/>
      </c>
      <c r="W1732">
        <f>IF(selection!H1729=0,selection!M1729,NA())</f>
        <v/>
      </c>
      <c r="X1732">
        <f>IF(selection!H1729=0,selection!N1729,NA())</f>
        <v/>
      </c>
    </row>
    <row r="1733">
      <c r="U1733">
        <f>IF(selection!H1730=1,selection!M1730,NA())</f>
        <v/>
      </c>
      <c r="V1733">
        <f>IF(selection!H1730=1,selection!N1730,NA())</f>
        <v/>
      </c>
      <c r="W1733">
        <f>IF(selection!H1730=0,selection!M1730,NA())</f>
        <v/>
      </c>
      <c r="X1733">
        <f>IF(selection!H1730=0,selection!N1730,NA())</f>
        <v/>
      </c>
    </row>
    <row r="1734">
      <c r="U1734">
        <f>IF(selection!H1731=1,selection!M1731,NA())</f>
        <v/>
      </c>
      <c r="V1734">
        <f>IF(selection!H1731=1,selection!N1731,NA())</f>
        <v/>
      </c>
      <c r="W1734">
        <f>IF(selection!H1731=0,selection!M1731,NA())</f>
        <v/>
      </c>
      <c r="X1734">
        <f>IF(selection!H1731=0,selection!N1731,NA())</f>
        <v/>
      </c>
    </row>
    <row r="1735">
      <c r="U1735">
        <f>IF(selection!H1732=1,selection!M1732,NA())</f>
        <v/>
      </c>
      <c r="V1735">
        <f>IF(selection!H1732=1,selection!N1732,NA())</f>
        <v/>
      </c>
      <c r="W1735">
        <f>IF(selection!H1732=0,selection!M1732,NA())</f>
        <v/>
      </c>
      <c r="X1735">
        <f>IF(selection!H1732=0,selection!N1732,NA())</f>
        <v/>
      </c>
    </row>
    <row r="1736">
      <c r="U1736">
        <f>IF(selection!H1733=1,selection!M1733,NA())</f>
        <v/>
      </c>
      <c r="V1736">
        <f>IF(selection!H1733=1,selection!N1733,NA())</f>
        <v/>
      </c>
      <c r="W1736">
        <f>IF(selection!H1733=0,selection!M1733,NA())</f>
        <v/>
      </c>
      <c r="X1736">
        <f>IF(selection!H1733=0,selection!N1733,NA())</f>
        <v/>
      </c>
    </row>
    <row r="1737">
      <c r="U1737">
        <f>IF(selection!H1734=1,selection!M1734,NA())</f>
        <v/>
      </c>
      <c r="V1737">
        <f>IF(selection!H1734=1,selection!N1734,NA())</f>
        <v/>
      </c>
      <c r="W1737">
        <f>IF(selection!H1734=0,selection!M1734,NA())</f>
        <v/>
      </c>
      <c r="X1737">
        <f>IF(selection!H1734=0,selection!N1734,NA())</f>
        <v/>
      </c>
    </row>
    <row r="1738">
      <c r="U1738">
        <f>IF(selection!H1735=1,selection!M1735,NA())</f>
        <v/>
      </c>
      <c r="V1738">
        <f>IF(selection!H1735=1,selection!N1735,NA())</f>
        <v/>
      </c>
      <c r="W1738">
        <f>IF(selection!H1735=0,selection!M1735,NA())</f>
        <v/>
      </c>
      <c r="X1738">
        <f>IF(selection!H1735=0,selection!N1735,NA())</f>
        <v/>
      </c>
    </row>
    <row r="1739">
      <c r="U1739">
        <f>IF(selection!H1736=1,selection!M1736,NA())</f>
        <v/>
      </c>
      <c r="V1739">
        <f>IF(selection!H1736=1,selection!N1736,NA())</f>
        <v/>
      </c>
      <c r="W1739">
        <f>IF(selection!H1736=0,selection!M1736,NA())</f>
        <v/>
      </c>
      <c r="X1739">
        <f>IF(selection!H1736=0,selection!N1736,NA())</f>
        <v/>
      </c>
    </row>
    <row r="1740">
      <c r="U1740">
        <f>IF(selection!H1737=1,selection!M1737,NA())</f>
        <v/>
      </c>
      <c r="V1740">
        <f>IF(selection!H1737=1,selection!N1737,NA())</f>
        <v/>
      </c>
      <c r="W1740">
        <f>IF(selection!H1737=0,selection!M1737,NA())</f>
        <v/>
      </c>
      <c r="X1740">
        <f>IF(selection!H1737=0,selection!N1737,NA())</f>
        <v/>
      </c>
    </row>
    <row r="1741">
      <c r="U1741">
        <f>IF(selection!H1738=1,selection!M1738,NA())</f>
        <v/>
      </c>
      <c r="V1741">
        <f>IF(selection!H1738=1,selection!N1738,NA())</f>
        <v/>
      </c>
      <c r="W1741">
        <f>IF(selection!H1738=0,selection!M1738,NA())</f>
        <v/>
      </c>
      <c r="X1741">
        <f>IF(selection!H1738=0,selection!N1738,NA())</f>
        <v/>
      </c>
    </row>
    <row r="1742">
      <c r="U1742">
        <f>IF(selection!H1739=1,selection!M1739,NA())</f>
        <v/>
      </c>
      <c r="V1742">
        <f>IF(selection!H1739=1,selection!N1739,NA())</f>
        <v/>
      </c>
      <c r="W1742">
        <f>IF(selection!H1739=0,selection!M1739,NA())</f>
        <v/>
      </c>
      <c r="X1742">
        <f>IF(selection!H1739=0,selection!N1739,NA())</f>
        <v/>
      </c>
    </row>
    <row r="1743">
      <c r="U1743">
        <f>IF(selection!H1740=1,selection!M1740,NA())</f>
        <v/>
      </c>
      <c r="V1743">
        <f>IF(selection!H1740=1,selection!N1740,NA())</f>
        <v/>
      </c>
      <c r="W1743">
        <f>IF(selection!H1740=0,selection!M1740,NA())</f>
        <v/>
      </c>
      <c r="X1743">
        <f>IF(selection!H1740=0,selection!N1740,NA())</f>
        <v/>
      </c>
    </row>
    <row r="1744">
      <c r="U1744">
        <f>IF(selection!H1741=1,selection!M1741,NA())</f>
        <v/>
      </c>
      <c r="V1744">
        <f>IF(selection!H1741=1,selection!N1741,NA())</f>
        <v/>
      </c>
      <c r="W1744">
        <f>IF(selection!H1741=0,selection!M1741,NA())</f>
        <v/>
      </c>
      <c r="X1744">
        <f>IF(selection!H1741=0,selection!N1741,NA())</f>
        <v/>
      </c>
    </row>
    <row r="1745">
      <c r="U1745">
        <f>IF(selection!H1742=1,selection!M1742,NA())</f>
        <v/>
      </c>
      <c r="V1745">
        <f>IF(selection!H1742=1,selection!N1742,NA())</f>
        <v/>
      </c>
      <c r="W1745">
        <f>IF(selection!H1742=0,selection!M1742,NA())</f>
        <v/>
      </c>
      <c r="X1745">
        <f>IF(selection!H1742=0,selection!N1742,NA())</f>
        <v/>
      </c>
    </row>
    <row r="1746">
      <c r="U1746">
        <f>IF(selection!H1743=1,selection!M1743,NA())</f>
        <v/>
      </c>
      <c r="V1746">
        <f>IF(selection!H1743=1,selection!N1743,NA())</f>
        <v/>
      </c>
      <c r="W1746">
        <f>IF(selection!H1743=0,selection!M1743,NA())</f>
        <v/>
      </c>
      <c r="X1746">
        <f>IF(selection!H1743=0,selection!N1743,NA())</f>
        <v/>
      </c>
    </row>
    <row r="1747">
      <c r="U1747">
        <f>IF(selection!H1744=1,selection!M1744,NA())</f>
        <v/>
      </c>
      <c r="V1747">
        <f>IF(selection!H1744=1,selection!N1744,NA())</f>
        <v/>
      </c>
      <c r="W1747">
        <f>IF(selection!H1744=0,selection!M1744,NA())</f>
        <v/>
      </c>
      <c r="X1747">
        <f>IF(selection!H1744=0,selection!N1744,NA())</f>
        <v/>
      </c>
    </row>
    <row r="1748">
      <c r="U1748">
        <f>IF(selection!H1745=1,selection!M1745,NA())</f>
        <v/>
      </c>
      <c r="V1748">
        <f>IF(selection!H1745=1,selection!N1745,NA())</f>
        <v/>
      </c>
      <c r="W1748">
        <f>IF(selection!H1745=0,selection!M1745,NA())</f>
        <v/>
      </c>
      <c r="X1748">
        <f>IF(selection!H1745=0,selection!N1745,NA())</f>
        <v/>
      </c>
    </row>
    <row r="1749">
      <c r="U1749">
        <f>IF(selection!H1746=1,selection!M1746,NA())</f>
        <v/>
      </c>
      <c r="V1749">
        <f>IF(selection!H1746=1,selection!N1746,NA())</f>
        <v/>
      </c>
      <c r="W1749">
        <f>IF(selection!H1746=0,selection!M1746,NA())</f>
        <v/>
      </c>
      <c r="X1749">
        <f>IF(selection!H1746=0,selection!N1746,NA())</f>
        <v/>
      </c>
    </row>
    <row r="1750">
      <c r="U1750">
        <f>IF(selection!H1747=1,selection!M1747,NA())</f>
        <v/>
      </c>
      <c r="V1750">
        <f>IF(selection!H1747=1,selection!N1747,NA())</f>
        <v/>
      </c>
      <c r="W1750">
        <f>IF(selection!H1747=0,selection!M1747,NA())</f>
        <v/>
      </c>
      <c r="X1750">
        <f>IF(selection!H1747=0,selection!N1747,NA())</f>
        <v/>
      </c>
    </row>
    <row r="1751">
      <c r="U1751">
        <f>IF(selection!H1748=1,selection!M1748,NA())</f>
        <v/>
      </c>
      <c r="V1751">
        <f>IF(selection!H1748=1,selection!N1748,NA())</f>
        <v/>
      </c>
      <c r="W1751">
        <f>IF(selection!H1748=0,selection!M1748,NA())</f>
        <v/>
      </c>
      <c r="X1751">
        <f>IF(selection!H1748=0,selection!N1748,NA())</f>
        <v/>
      </c>
    </row>
    <row r="1752">
      <c r="U1752">
        <f>IF(selection!H1749=1,selection!M1749,NA())</f>
        <v/>
      </c>
      <c r="V1752">
        <f>IF(selection!H1749=1,selection!N1749,NA())</f>
        <v/>
      </c>
      <c r="W1752">
        <f>IF(selection!H1749=0,selection!M1749,NA())</f>
        <v/>
      </c>
      <c r="X1752">
        <f>IF(selection!H1749=0,selection!N1749,NA())</f>
        <v/>
      </c>
    </row>
    <row r="1753">
      <c r="U1753">
        <f>IF(selection!H1750=1,selection!M1750,NA())</f>
        <v/>
      </c>
      <c r="V1753">
        <f>IF(selection!H1750=1,selection!N1750,NA())</f>
        <v/>
      </c>
      <c r="W1753">
        <f>IF(selection!H1750=0,selection!M1750,NA())</f>
        <v/>
      </c>
      <c r="X1753">
        <f>IF(selection!H1750=0,selection!N1750,NA())</f>
        <v/>
      </c>
    </row>
    <row r="1754">
      <c r="U1754">
        <f>IF(selection!H1751=1,selection!M1751,NA())</f>
        <v/>
      </c>
      <c r="V1754">
        <f>IF(selection!H1751=1,selection!N1751,NA())</f>
        <v/>
      </c>
      <c r="W1754">
        <f>IF(selection!H1751=0,selection!M1751,NA())</f>
        <v/>
      </c>
      <c r="X1754">
        <f>IF(selection!H1751=0,selection!N1751,NA())</f>
        <v/>
      </c>
    </row>
    <row r="1755">
      <c r="U1755">
        <f>IF(selection!H1752=1,selection!M1752,NA())</f>
        <v/>
      </c>
      <c r="V1755">
        <f>IF(selection!H1752=1,selection!N1752,NA())</f>
        <v/>
      </c>
      <c r="W1755">
        <f>IF(selection!H1752=0,selection!M1752,NA())</f>
        <v/>
      </c>
      <c r="X1755">
        <f>IF(selection!H1752=0,selection!N1752,NA())</f>
        <v/>
      </c>
    </row>
    <row r="1756">
      <c r="U1756">
        <f>IF(selection!H1753=1,selection!M1753,NA())</f>
        <v/>
      </c>
      <c r="V1756">
        <f>IF(selection!H1753=1,selection!N1753,NA())</f>
        <v/>
      </c>
      <c r="W1756">
        <f>IF(selection!H1753=0,selection!M1753,NA())</f>
        <v/>
      </c>
      <c r="X1756">
        <f>IF(selection!H1753=0,selection!N1753,NA())</f>
        <v/>
      </c>
    </row>
    <row r="1757">
      <c r="U1757">
        <f>IF(selection!H1754=1,selection!M1754,NA())</f>
        <v/>
      </c>
      <c r="V1757">
        <f>IF(selection!H1754=1,selection!N1754,NA())</f>
        <v/>
      </c>
      <c r="W1757">
        <f>IF(selection!H1754=0,selection!M1754,NA())</f>
        <v/>
      </c>
      <c r="X1757">
        <f>IF(selection!H1754=0,selection!N1754,NA())</f>
        <v/>
      </c>
    </row>
    <row r="1758">
      <c r="U1758">
        <f>IF(selection!H1755=1,selection!M1755,NA())</f>
        <v/>
      </c>
      <c r="V1758">
        <f>IF(selection!H1755=1,selection!N1755,NA())</f>
        <v/>
      </c>
      <c r="W1758">
        <f>IF(selection!H1755=0,selection!M1755,NA())</f>
        <v/>
      </c>
      <c r="X1758">
        <f>IF(selection!H1755=0,selection!N1755,NA())</f>
        <v/>
      </c>
    </row>
    <row r="1759">
      <c r="U1759">
        <f>IF(selection!H1756=1,selection!M1756,NA())</f>
        <v/>
      </c>
      <c r="V1759">
        <f>IF(selection!H1756=1,selection!N1756,NA())</f>
        <v/>
      </c>
      <c r="W1759">
        <f>IF(selection!H1756=0,selection!M1756,NA())</f>
        <v/>
      </c>
      <c r="X1759">
        <f>IF(selection!H1756=0,selection!N1756,NA())</f>
        <v/>
      </c>
    </row>
    <row r="1760">
      <c r="U1760">
        <f>IF(selection!H1757=1,selection!M1757,NA())</f>
        <v/>
      </c>
      <c r="V1760">
        <f>IF(selection!H1757=1,selection!N1757,NA())</f>
        <v/>
      </c>
      <c r="W1760">
        <f>IF(selection!H1757=0,selection!M1757,NA())</f>
        <v/>
      </c>
      <c r="X1760">
        <f>IF(selection!H1757=0,selection!N1757,NA())</f>
        <v/>
      </c>
    </row>
    <row r="1761">
      <c r="U1761">
        <f>IF(selection!H1758=1,selection!M1758,NA())</f>
        <v/>
      </c>
      <c r="V1761">
        <f>IF(selection!H1758=1,selection!N1758,NA())</f>
        <v/>
      </c>
      <c r="W1761">
        <f>IF(selection!H1758=0,selection!M1758,NA())</f>
        <v/>
      </c>
      <c r="X1761">
        <f>IF(selection!H1758=0,selection!N1758,NA())</f>
        <v/>
      </c>
    </row>
    <row r="1762">
      <c r="U1762">
        <f>IF(selection!H1759=1,selection!M1759,NA())</f>
        <v/>
      </c>
      <c r="V1762">
        <f>IF(selection!H1759=1,selection!N1759,NA())</f>
        <v/>
      </c>
      <c r="W1762">
        <f>IF(selection!H1759=0,selection!M1759,NA())</f>
        <v/>
      </c>
      <c r="X1762">
        <f>IF(selection!H1759=0,selection!N1759,NA())</f>
        <v/>
      </c>
    </row>
    <row r="1763">
      <c r="U1763">
        <f>IF(selection!H1760=1,selection!M1760,NA())</f>
        <v/>
      </c>
      <c r="V1763">
        <f>IF(selection!H1760=1,selection!N1760,NA())</f>
        <v/>
      </c>
      <c r="W1763">
        <f>IF(selection!H1760=0,selection!M1760,NA())</f>
        <v/>
      </c>
      <c r="X1763">
        <f>IF(selection!H1760=0,selection!N1760,NA())</f>
        <v/>
      </c>
    </row>
    <row r="1764">
      <c r="U1764">
        <f>IF(selection!H1761=1,selection!M1761,NA())</f>
        <v/>
      </c>
      <c r="V1764">
        <f>IF(selection!H1761=1,selection!N1761,NA())</f>
        <v/>
      </c>
      <c r="W1764">
        <f>IF(selection!H1761=0,selection!M1761,NA())</f>
        <v/>
      </c>
      <c r="X1764">
        <f>IF(selection!H1761=0,selection!N1761,NA())</f>
        <v/>
      </c>
    </row>
    <row r="1765">
      <c r="U1765">
        <f>IF(selection!H1762=1,selection!M1762,NA())</f>
        <v/>
      </c>
      <c r="V1765">
        <f>IF(selection!H1762=1,selection!N1762,NA())</f>
        <v/>
      </c>
      <c r="W1765">
        <f>IF(selection!H1762=0,selection!M1762,NA())</f>
        <v/>
      </c>
      <c r="X1765">
        <f>IF(selection!H1762=0,selection!N1762,NA())</f>
        <v/>
      </c>
    </row>
    <row r="1766">
      <c r="U1766">
        <f>IF(selection!H1763=1,selection!M1763,NA())</f>
        <v/>
      </c>
      <c r="V1766">
        <f>IF(selection!H1763=1,selection!N1763,NA())</f>
        <v/>
      </c>
      <c r="W1766">
        <f>IF(selection!H1763=0,selection!M1763,NA())</f>
        <v/>
      </c>
      <c r="X1766">
        <f>IF(selection!H1763=0,selection!N1763,NA())</f>
        <v/>
      </c>
    </row>
    <row r="1767">
      <c r="U1767">
        <f>IF(selection!H1764=1,selection!M1764,NA())</f>
        <v/>
      </c>
      <c r="V1767">
        <f>IF(selection!H1764=1,selection!N1764,NA())</f>
        <v/>
      </c>
      <c r="W1767">
        <f>IF(selection!H1764=0,selection!M1764,NA())</f>
        <v/>
      </c>
      <c r="X1767">
        <f>IF(selection!H1764=0,selection!N1764,NA())</f>
        <v/>
      </c>
    </row>
    <row r="1768">
      <c r="U1768">
        <f>IF(selection!H1765=1,selection!M1765,NA())</f>
        <v/>
      </c>
      <c r="V1768">
        <f>IF(selection!H1765=1,selection!N1765,NA())</f>
        <v/>
      </c>
      <c r="W1768">
        <f>IF(selection!H1765=0,selection!M1765,NA())</f>
        <v/>
      </c>
      <c r="X1768">
        <f>IF(selection!H1765=0,selection!N1765,NA())</f>
        <v/>
      </c>
    </row>
    <row r="1769">
      <c r="U1769">
        <f>IF(selection!H1766=1,selection!M1766,NA())</f>
        <v/>
      </c>
      <c r="V1769">
        <f>IF(selection!H1766=1,selection!N1766,NA())</f>
        <v/>
      </c>
      <c r="W1769">
        <f>IF(selection!H1766=0,selection!M1766,NA())</f>
        <v/>
      </c>
      <c r="X1769">
        <f>IF(selection!H1766=0,selection!N1766,NA())</f>
        <v/>
      </c>
    </row>
    <row r="1770">
      <c r="U1770">
        <f>IF(selection!H1767=1,selection!M1767,NA())</f>
        <v/>
      </c>
      <c r="V1770">
        <f>IF(selection!H1767=1,selection!N1767,NA())</f>
        <v/>
      </c>
      <c r="W1770">
        <f>IF(selection!H1767=0,selection!M1767,NA())</f>
        <v/>
      </c>
      <c r="X1770">
        <f>IF(selection!H1767=0,selection!N1767,NA())</f>
        <v/>
      </c>
    </row>
    <row r="1771">
      <c r="U1771">
        <f>IF(selection!H1768=1,selection!M1768,NA())</f>
        <v/>
      </c>
      <c r="V1771">
        <f>IF(selection!H1768=1,selection!N1768,NA())</f>
        <v/>
      </c>
      <c r="W1771">
        <f>IF(selection!H1768=0,selection!M1768,NA())</f>
        <v/>
      </c>
      <c r="X1771">
        <f>IF(selection!H1768=0,selection!N1768,NA())</f>
        <v/>
      </c>
    </row>
    <row r="1772">
      <c r="U1772">
        <f>IF(selection!H1769=1,selection!M1769,NA())</f>
        <v/>
      </c>
      <c r="V1772">
        <f>IF(selection!H1769=1,selection!N1769,NA())</f>
        <v/>
      </c>
      <c r="W1772">
        <f>IF(selection!H1769=0,selection!M1769,NA())</f>
        <v/>
      </c>
      <c r="X1772">
        <f>IF(selection!H1769=0,selection!N1769,NA())</f>
        <v/>
      </c>
    </row>
    <row r="1773">
      <c r="U1773">
        <f>IF(selection!H1770=1,selection!M1770,NA())</f>
        <v/>
      </c>
      <c r="V1773">
        <f>IF(selection!H1770=1,selection!N1770,NA())</f>
        <v/>
      </c>
      <c r="W1773">
        <f>IF(selection!H1770=0,selection!M1770,NA())</f>
        <v/>
      </c>
      <c r="X1773">
        <f>IF(selection!H1770=0,selection!N1770,NA())</f>
        <v/>
      </c>
    </row>
    <row r="1774">
      <c r="U1774">
        <f>IF(selection!H1771=1,selection!M1771,NA())</f>
        <v/>
      </c>
      <c r="V1774">
        <f>IF(selection!H1771=1,selection!N1771,NA())</f>
        <v/>
      </c>
      <c r="W1774">
        <f>IF(selection!H1771=0,selection!M1771,NA())</f>
        <v/>
      </c>
      <c r="X1774">
        <f>IF(selection!H1771=0,selection!N1771,NA())</f>
        <v/>
      </c>
    </row>
    <row r="1775">
      <c r="U1775">
        <f>IF(selection!H1772=1,selection!M1772,NA())</f>
        <v/>
      </c>
      <c r="V1775">
        <f>IF(selection!H1772=1,selection!N1772,NA())</f>
        <v/>
      </c>
      <c r="W1775">
        <f>IF(selection!H1772=0,selection!M1772,NA())</f>
        <v/>
      </c>
      <c r="X1775">
        <f>IF(selection!H1772=0,selection!N1772,NA())</f>
        <v/>
      </c>
    </row>
    <row r="1776">
      <c r="U1776">
        <f>IF(selection!H1773=1,selection!M1773,NA())</f>
        <v/>
      </c>
      <c r="V1776">
        <f>IF(selection!H1773=1,selection!N1773,NA())</f>
        <v/>
      </c>
      <c r="W1776">
        <f>IF(selection!H1773=0,selection!M1773,NA())</f>
        <v/>
      </c>
      <c r="X1776">
        <f>IF(selection!H1773=0,selection!N1773,NA())</f>
        <v/>
      </c>
    </row>
    <row r="1777">
      <c r="U1777">
        <f>IF(selection!H1774=1,selection!M1774,NA())</f>
        <v/>
      </c>
      <c r="V1777">
        <f>IF(selection!H1774=1,selection!N1774,NA())</f>
        <v/>
      </c>
      <c r="W1777">
        <f>IF(selection!H1774=0,selection!M1774,NA())</f>
        <v/>
      </c>
      <c r="X1777">
        <f>IF(selection!H1774=0,selection!N1774,NA())</f>
        <v/>
      </c>
    </row>
    <row r="1778">
      <c r="U1778">
        <f>IF(selection!H1775=1,selection!M1775,NA())</f>
        <v/>
      </c>
      <c r="V1778">
        <f>IF(selection!H1775=1,selection!N1775,NA())</f>
        <v/>
      </c>
      <c r="W1778">
        <f>IF(selection!H1775=0,selection!M1775,NA())</f>
        <v/>
      </c>
      <c r="X1778">
        <f>IF(selection!H1775=0,selection!N1775,NA())</f>
        <v/>
      </c>
    </row>
    <row r="1779">
      <c r="U1779">
        <f>IF(selection!H1776=1,selection!M1776,NA())</f>
        <v/>
      </c>
      <c r="V1779">
        <f>IF(selection!H1776=1,selection!N1776,NA())</f>
        <v/>
      </c>
      <c r="W1779">
        <f>IF(selection!H1776=0,selection!M1776,NA())</f>
        <v/>
      </c>
      <c r="X1779">
        <f>IF(selection!H1776=0,selection!N1776,NA())</f>
        <v/>
      </c>
    </row>
    <row r="1780">
      <c r="U1780">
        <f>IF(selection!H1777=1,selection!M1777,NA())</f>
        <v/>
      </c>
      <c r="V1780">
        <f>IF(selection!H1777=1,selection!N1777,NA())</f>
        <v/>
      </c>
      <c r="W1780">
        <f>IF(selection!H1777=0,selection!M1777,NA())</f>
        <v/>
      </c>
      <c r="X1780">
        <f>IF(selection!H1777=0,selection!N1777,NA())</f>
        <v/>
      </c>
    </row>
    <row r="1781">
      <c r="U1781">
        <f>IF(selection!H1778=1,selection!M1778,NA())</f>
        <v/>
      </c>
      <c r="V1781">
        <f>IF(selection!H1778=1,selection!N1778,NA())</f>
        <v/>
      </c>
      <c r="W1781">
        <f>IF(selection!H1778=0,selection!M1778,NA())</f>
        <v/>
      </c>
      <c r="X1781">
        <f>IF(selection!H1778=0,selection!N1778,NA())</f>
        <v/>
      </c>
    </row>
    <row r="1782">
      <c r="U1782">
        <f>IF(selection!H1779=1,selection!M1779,NA())</f>
        <v/>
      </c>
      <c r="V1782">
        <f>IF(selection!H1779=1,selection!N1779,NA())</f>
        <v/>
      </c>
      <c r="W1782">
        <f>IF(selection!H1779=0,selection!M1779,NA())</f>
        <v/>
      </c>
      <c r="X1782">
        <f>IF(selection!H1779=0,selection!N1779,NA())</f>
        <v/>
      </c>
    </row>
    <row r="1783">
      <c r="U1783">
        <f>IF(selection!H1780=1,selection!M1780,NA())</f>
        <v/>
      </c>
      <c r="V1783">
        <f>IF(selection!H1780=1,selection!N1780,NA())</f>
        <v/>
      </c>
      <c r="W1783">
        <f>IF(selection!H1780=0,selection!M1780,NA())</f>
        <v/>
      </c>
      <c r="X1783">
        <f>IF(selection!H1780=0,selection!N1780,NA())</f>
        <v/>
      </c>
    </row>
    <row r="1784">
      <c r="U1784">
        <f>IF(selection!H1781=1,selection!M1781,NA())</f>
        <v/>
      </c>
      <c r="V1784">
        <f>IF(selection!H1781=1,selection!N1781,NA())</f>
        <v/>
      </c>
      <c r="W1784">
        <f>IF(selection!H1781=0,selection!M1781,NA())</f>
        <v/>
      </c>
      <c r="X1784">
        <f>IF(selection!H1781=0,selection!N1781,NA())</f>
        <v/>
      </c>
    </row>
    <row r="1785">
      <c r="U1785">
        <f>IF(selection!H1782=1,selection!M1782,NA())</f>
        <v/>
      </c>
      <c r="V1785">
        <f>IF(selection!H1782=1,selection!N1782,NA())</f>
        <v/>
      </c>
      <c r="W1785">
        <f>IF(selection!H1782=0,selection!M1782,NA())</f>
        <v/>
      </c>
      <c r="X1785">
        <f>IF(selection!H1782=0,selection!N1782,NA())</f>
        <v/>
      </c>
    </row>
    <row r="1786">
      <c r="U1786">
        <f>IF(selection!H1783=1,selection!M1783,NA())</f>
        <v/>
      </c>
      <c r="V1786">
        <f>IF(selection!H1783=1,selection!N1783,NA())</f>
        <v/>
      </c>
      <c r="W1786">
        <f>IF(selection!H1783=0,selection!M1783,NA())</f>
        <v/>
      </c>
      <c r="X1786">
        <f>IF(selection!H1783=0,selection!N1783,NA())</f>
        <v/>
      </c>
    </row>
    <row r="1787">
      <c r="U1787">
        <f>IF(selection!H1784=1,selection!M1784,NA())</f>
        <v/>
      </c>
      <c r="V1787">
        <f>IF(selection!H1784=1,selection!N1784,NA())</f>
        <v/>
      </c>
      <c r="W1787">
        <f>IF(selection!H1784=0,selection!M1784,NA())</f>
        <v/>
      </c>
      <c r="X1787">
        <f>IF(selection!H1784=0,selection!N1784,NA())</f>
        <v/>
      </c>
    </row>
    <row r="1788">
      <c r="U1788">
        <f>IF(selection!H1785=1,selection!M1785,NA())</f>
        <v/>
      </c>
      <c r="V1788">
        <f>IF(selection!H1785=1,selection!N1785,NA())</f>
        <v/>
      </c>
      <c r="W1788">
        <f>IF(selection!H1785=0,selection!M1785,NA())</f>
        <v/>
      </c>
      <c r="X1788">
        <f>IF(selection!H1785=0,selection!N1785,NA())</f>
        <v/>
      </c>
    </row>
    <row r="1789">
      <c r="U1789">
        <f>IF(selection!H1786=1,selection!M1786,NA())</f>
        <v/>
      </c>
      <c r="V1789">
        <f>IF(selection!H1786=1,selection!N1786,NA())</f>
        <v/>
      </c>
      <c r="W1789">
        <f>IF(selection!H1786=0,selection!M1786,NA())</f>
        <v/>
      </c>
      <c r="X1789">
        <f>IF(selection!H1786=0,selection!N1786,NA())</f>
        <v/>
      </c>
    </row>
    <row r="1790">
      <c r="U1790">
        <f>IF(selection!H1787=1,selection!M1787,NA())</f>
        <v/>
      </c>
      <c r="V1790">
        <f>IF(selection!H1787=1,selection!N1787,NA())</f>
        <v/>
      </c>
      <c r="W1790">
        <f>IF(selection!H1787=0,selection!M1787,NA())</f>
        <v/>
      </c>
      <c r="X1790">
        <f>IF(selection!H1787=0,selection!N1787,NA())</f>
        <v/>
      </c>
    </row>
    <row r="1791">
      <c r="U1791">
        <f>IF(selection!H1788=1,selection!M1788,NA())</f>
        <v/>
      </c>
      <c r="V1791">
        <f>IF(selection!H1788=1,selection!N1788,NA())</f>
        <v/>
      </c>
      <c r="W1791">
        <f>IF(selection!H1788=0,selection!M1788,NA())</f>
        <v/>
      </c>
      <c r="X1791">
        <f>IF(selection!H1788=0,selection!N1788,NA())</f>
        <v/>
      </c>
    </row>
    <row r="1792">
      <c r="U1792">
        <f>IF(selection!H1789=1,selection!M1789,NA())</f>
        <v/>
      </c>
      <c r="V1792">
        <f>IF(selection!H1789=1,selection!N1789,NA())</f>
        <v/>
      </c>
      <c r="W1792">
        <f>IF(selection!H1789=0,selection!M1789,NA())</f>
        <v/>
      </c>
      <c r="X1792">
        <f>IF(selection!H1789=0,selection!N1789,NA())</f>
        <v/>
      </c>
    </row>
    <row r="1793">
      <c r="U1793">
        <f>IF(selection!H1790=1,selection!M1790,NA())</f>
        <v/>
      </c>
      <c r="V1793">
        <f>IF(selection!H1790=1,selection!N1790,NA())</f>
        <v/>
      </c>
      <c r="W1793">
        <f>IF(selection!H1790=0,selection!M1790,NA())</f>
        <v/>
      </c>
      <c r="X1793">
        <f>IF(selection!H1790=0,selection!N1790,NA())</f>
        <v/>
      </c>
    </row>
    <row r="1794">
      <c r="U1794">
        <f>IF(selection!H1791=1,selection!M1791,NA())</f>
        <v/>
      </c>
      <c r="V1794">
        <f>IF(selection!H1791=1,selection!N1791,NA())</f>
        <v/>
      </c>
      <c r="W1794">
        <f>IF(selection!H1791=0,selection!M1791,NA())</f>
        <v/>
      </c>
      <c r="X1794">
        <f>IF(selection!H1791=0,selection!N1791,NA())</f>
        <v/>
      </c>
    </row>
    <row r="1795">
      <c r="U1795">
        <f>IF(selection!H1792=1,selection!M1792,NA())</f>
        <v/>
      </c>
      <c r="V1795">
        <f>IF(selection!H1792=1,selection!N1792,NA())</f>
        <v/>
      </c>
      <c r="W1795">
        <f>IF(selection!H1792=0,selection!M1792,NA())</f>
        <v/>
      </c>
      <c r="X1795">
        <f>IF(selection!H1792=0,selection!N1792,NA())</f>
        <v/>
      </c>
    </row>
    <row r="1796">
      <c r="U1796">
        <f>IF(selection!H1793=1,selection!M1793,NA())</f>
        <v/>
      </c>
      <c r="V1796">
        <f>IF(selection!H1793=1,selection!N1793,NA())</f>
        <v/>
      </c>
      <c r="W1796">
        <f>IF(selection!H1793=0,selection!M1793,NA())</f>
        <v/>
      </c>
      <c r="X1796">
        <f>IF(selection!H1793=0,selection!N1793,NA())</f>
        <v/>
      </c>
    </row>
    <row r="1797">
      <c r="U1797">
        <f>IF(selection!H1794=1,selection!M1794,NA())</f>
        <v/>
      </c>
      <c r="V1797">
        <f>IF(selection!H1794=1,selection!N1794,NA())</f>
        <v/>
      </c>
      <c r="W1797">
        <f>IF(selection!H1794=0,selection!M1794,NA())</f>
        <v/>
      </c>
      <c r="X1797">
        <f>IF(selection!H1794=0,selection!N1794,NA())</f>
        <v/>
      </c>
    </row>
    <row r="1798">
      <c r="U1798">
        <f>IF(selection!H1795=1,selection!M1795,NA())</f>
        <v/>
      </c>
      <c r="V1798">
        <f>IF(selection!H1795=1,selection!N1795,NA())</f>
        <v/>
      </c>
      <c r="W1798">
        <f>IF(selection!H1795=0,selection!M1795,NA())</f>
        <v/>
      </c>
      <c r="X1798">
        <f>IF(selection!H1795=0,selection!N1795,NA())</f>
        <v/>
      </c>
    </row>
    <row r="1799">
      <c r="U1799">
        <f>IF(selection!H1796=1,selection!M1796,NA())</f>
        <v/>
      </c>
      <c r="V1799">
        <f>IF(selection!H1796=1,selection!N1796,NA())</f>
        <v/>
      </c>
      <c r="W1799">
        <f>IF(selection!H1796=0,selection!M1796,NA())</f>
        <v/>
      </c>
      <c r="X1799">
        <f>IF(selection!H1796=0,selection!N1796,NA())</f>
        <v/>
      </c>
    </row>
    <row r="1800">
      <c r="U1800">
        <f>IF(selection!H1797=1,selection!M1797,NA())</f>
        <v/>
      </c>
      <c r="V1800">
        <f>IF(selection!H1797=1,selection!N1797,NA())</f>
        <v/>
      </c>
      <c r="W1800">
        <f>IF(selection!H1797=0,selection!M1797,NA())</f>
        <v/>
      </c>
      <c r="X1800">
        <f>IF(selection!H1797=0,selection!N1797,NA())</f>
        <v/>
      </c>
    </row>
    <row r="1801">
      <c r="U1801">
        <f>IF(selection!H1798=1,selection!M1798,NA())</f>
        <v/>
      </c>
      <c r="V1801">
        <f>IF(selection!H1798=1,selection!N1798,NA())</f>
        <v/>
      </c>
      <c r="W1801">
        <f>IF(selection!H1798=0,selection!M1798,NA())</f>
        <v/>
      </c>
      <c r="X1801">
        <f>IF(selection!H1798=0,selection!N1798,NA())</f>
        <v/>
      </c>
    </row>
    <row r="1802">
      <c r="U1802">
        <f>IF(selection!H1799=1,selection!M1799,NA())</f>
        <v/>
      </c>
      <c r="V1802">
        <f>IF(selection!H1799=1,selection!N1799,NA())</f>
        <v/>
      </c>
      <c r="W1802">
        <f>IF(selection!H1799=0,selection!M1799,NA())</f>
        <v/>
      </c>
      <c r="X1802">
        <f>IF(selection!H1799=0,selection!N1799,NA())</f>
        <v/>
      </c>
    </row>
    <row r="1803">
      <c r="U1803">
        <f>IF(selection!H1800=1,selection!M1800,NA())</f>
        <v/>
      </c>
      <c r="V1803">
        <f>IF(selection!H1800=1,selection!N1800,NA())</f>
        <v/>
      </c>
      <c r="W1803">
        <f>IF(selection!H1800=0,selection!M1800,NA())</f>
        <v/>
      </c>
      <c r="X1803">
        <f>IF(selection!H1800=0,selection!N1800,NA())</f>
        <v/>
      </c>
    </row>
    <row r="1804">
      <c r="U1804">
        <f>IF(selection!H1801=1,selection!M1801,NA())</f>
        <v/>
      </c>
      <c r="V1804">
        <f>IF(selection!H1801=1,selection!N1801,NA())</f>
        <v/>
      </c>
      <c r="W1804">
        <f>IF(selection!H1801=0,selection!M1801,NA())</f>
        <v/>
      </c>
      <c r="X1804">
        <f>IF(selection!H1801=0,selection!N1801,NA())</f>
        <v/>
      </c>
    </row>
    <row r="1805">
      <c r="U1805">
        <f>IF(selection!H1802=1,selection!M1802,NA())</f>
        <v/>
      </c>
      <c r="V1805">
        <f>IF(selection!H1802=1,selection!N1802,NA())</f>
        <v/>
      </c>
      <c r="W1805">
        <f>IF(selection!H1802=0,selection!M1802,NA())</f>
        <v/>
      </c>
      <c r="X1805">
        <f>IF(selection!H1802=0,selection!N1802,NA())</f>
        <v/>
      </c>
    </row>
    <row r="1806">
      <c r="U1806">
        <f>IF(selection!H1803=1,selection!M1803,NA())</f>
        <v/>
      </c>
      <c r="V1806">
        <f>IF(selection!H1803=1,selection!N1803,NA())</f>
        <v/>
      </c>
      <c r="W1806">
        <f>IF(selection!H1803=0,selection!M1803,NA())</f>
        <v/>
      </c>
      <c r="X1806">
        <f>IF(selection!H1803=0,selection!N1803,NA())</f>
        <v/>
      </c>
    </row>
    <row r="1807">
      <c r="U1807">
        <f>IF(selection!H1804=1,selection!M1804,NA())</f>
        <v/>
      </c>
      <c r="V1807">
        <f>IF(selection!H1804=1,selection!N1804,NA())</f>
        <v/>
      </c>
      <c r="W1807">
        <f>IF(selection!H1804=0,selection!M1804,NA())</f>
        <v/>
      </c>
      <c r="X1807">
        <f>IF(selection!H1804=0,selection!N1804,NA())</f>
        <v/>
      </c>
    </row>
    <row r="1808">
      <c r="U1808">
        <f>IF(selection!H1805=1,selection!M1805,NA())</f>
        <v/>
      </c>
      <c r="V1808">
        <f>IF(selection!H1805=1,selection!N1805,NA())</f>
        <v/>
      </c>
      <c r="W1808">
        <f>IF(selection!H1805=0,selection!M1805,NA())</f>
        <v/>
      </c>
      <c r="X1808">
        <f>IF(selection!H1805=0,selection!N1805,NA())</f>
        <v/>
      </c>
    </row>
    <row r="1809">
      <c r="U1809">
        <f>IF(selection!H1806=1,selection!M1806,NA())</f>
        <v/>
      </c>
      <c r="V1809">
        <f>IF(selection!H1806=1,selection!N1806,NA())</f>
        <v/>
      </c>
      <c r="W1809">
        <f>IF(selection!H1806=0,selection!M1806,NA())</f>
        <v/>
      </c>
      <c r="X1809">
        <f>IF(selection!H1806=0,selection!N1806,NA())</f>
        <v/>
      </c>
    </row>
    <row r="1810">
      <c r="U1810">
        <f>IF(selection!H1807=1,selection!M1807,NA())</f>
        <v/>
      </c>
      <c r="V1810">
        <f>IF(selection!H1807=1,selection!N1807,NA())</f>
        <v/>
      </c>
      <c r="W1810">
        <f>IF(selection!H1807=0,selection!M1807,NA())</f>
        <v/>
      </c>
      <c r="X1810">
        <f>IF(selection!H1807=0,selection!N1807,NA())</f>
        <v/>
      </c>
    </row>
    <row r="1811">
      <c r="U1811">
        <f>IF(selection!H1808=1,selection!M1808,NA())</f>
        <v/>
      </c>
      <c r="V1811">
        <f>IF(selection!H1808=1,selection!N1808,NA())</f>
        <v/>
      </c>
      <c r="W1811">
        <f>IF(selection!H1808=0,selection!M1808,NA())</f>
        <v/>
      </c>
      <c r="X1811">
        <f>IF(selection!H1808=0,selection!N1808,NA())</f>
        <v/>
      </c>
    </row>
    <row r="1812">
      <c r="U1812">
        <f>IF(selection!H1809=1,selection!M1809,NA())</f>
        <v/>
      </c>
      <c r="V1812">
        <f>IF(selection!H1809=1,selection!N1809,NA())</f>
        <v/>
      </c>
      <c r="W1812">
        <f>IF(selection!H1809=0,selection!M1809,NA())</f>
        <v/>
      </c>
      <c r="X1812">
        <f>IF(selection!H1809=0,selection!N1809,NA())</f>
        <v/>
      </c>
    </row>
    <row r="1813">
      <c r="U1813">
        <f>IF(selection!H1810=1,selection!M1810,NA())</f>
        <v/>
      </c>
      <c r="V1813">
        <f>IF(selection!H1810=1,selection!N1810,NA())</f>
        <v/>
      </c>
      <c r="W1813">
        <f>IF(selection!H1810=0,selection!M1810,NA())</f>
        <v/>
      </c>
      <c r="X1813">
        <f>IF(selection!H1810=0,selection!N1810,NA())</f>
        <v/>
      </c>
    </row>
    <row r="1814">
      <c r="U1814">
        <f>IF(selection!H1811=1,selection!M1811,NA())</f>
        <v/>
      </c>
      <c r="V1814">
        <f>IF(selection!H1811=1,selection!N1811,NA())</f>
        <v/>
      </c>
      <c r="W1814">
        <f>IF(selection!H1811=0,selection!M1811,NA())</f>
        <v/>
      </c>
      <c r="X1814">
        <f>IF(selection!H1811=0,selection!N1811,NA())</f>
        <v/>
      </c>
    </row>
    <row r="1815">
      <c r="U1815">
        <f>IF(selection!H1812=1,selection!M1812,NA())</f>
        <v/>
      </c>
      <c r="V1815">
        <f>IF(selection!H1812=1,selection!N1812,NA())</f>
        <v/>
      </c>
      <c r="W1815">
        <f>IF(selection!H1812=0,selection!M1812,NA())</f>
        <v/>
      </c>
      <c r="X1815">
        <f>IF(selection!H1812=0,selection!N1812,NA())</f>
        <v/>
      </c>
    </row>
    <row r="1816">
      <c r="U1816">
        <f>IF(selection!H1813=1,selection!M1813,NA())</f>
        <v/>
      </c>
      <c r="V1816">
        <f>IF(selection!H1813=1,selection!N1813,NA())</f>
        <v/>
      </c>
      <c r="W1816">
        <f>IF(selection!H1813=0,selection!M1813,NA())</f>
        <v/>
      </c>
      <c r="X1816">
        <f>IF(selection!H1813=0,selection!N1813,NA())</f>
        <v/>
      </c>
    </row>
    <row r="1817">
      <c r="U1817">
        <f>IF(selection!H1814=1,selection!M1814,NA())</f>
        <v/>
      </c>
      <c r="V1817">
        <f>IF(selection!H1814=1,selection!N1814,NA())</f>
        <v/>
      </c>
      <c r="W1817">
        <f>IF(selection!H1814=0,selection!M1814,NA())</f>
        <v/>
      </c>
      <c r="X1817">
        <f>IF(selection!H1814=0,selection!N1814,NA())</f>
        <v/>
      </c>
    </row>
    <row r="1818">
      <c r="U1818">
        <f>IF(selection!H1815=1,selection!M1815,NA())</f>
        <v/>
      </c>
      <c r="V1818">
        <f>IF(selection!H1815=1,selection!N1815,NA())</f>
        <v/>
      </c>
      <c r="W1818">
        <f>IF(selection!H1815=0,selection!M1815,NA())</f>
        <v/>
      </c>
      <c r="X1818">
        <f>IF(selection!H1815=0,selection!N1815,NA())</f>
        <v/>
      </c>
    </row>
    <row r="1819">
      <c r="U1819">
        <f>IF(selection!H1816=1,selection!M1816,NA())</f>
        <v/>
      </c>
      <c r="V1819">
        <f>IF(selection!H1816=1,selection!N1816,NA())</f>
        <v/>
      </c>
      <c r="W1819">
        <f>IF(selection!H1816=0,selection!M1816,NA())</f>
        <v/>
      </c>
      <c r="X1819">
        <f>IF(selection!H1816=0,selection!N1816,NA())</f>
        <v/>
      </c>
    </row>
    <row r="1820">
      <c r="U1820">
        <f>IF(selection!H1817=1,selection!M1817,NA())</f>
        <v/>
      </c>
      <c r="V1820">
        <f>IF(selection!H1817=1,selection!N1817,NA())</f>
        <v/>
      </c>
      <c r="W1820">
        <f>IF(selection!H1817=0,selection!M1817,NA())</f>
        <v/>
      </c>
      <c r="X1820">
        <f>IF(selection!H1817=0,selection!N1817,NA())</f>
        <v/>
      </c>
    </row>
    <row r="1821">
      <c r="U1821">
        <f>IF(selection!H1818=1,selection!M1818,NA())</f>
        <v/>
      </c>
      <c r="V1821">
        <f>IF(selection!H1818=1,selection!N1818,NA())</f>
        <v/>
      </c>
      <c r="W1821">
        <f>IF(selection!H1818=0,selection!M1818,NA())</f>
        <v/>
      </c>
      <c r="X1821">
        <f>IF(selection!H1818=0,selection!N1818,NA())</f>
        <v/>
      </c>
    </row>
    <row r="1822">
      <c r="U1822">
        <f>IF(selection!H1819=1,selection!M1819,NA())</f>
        <v/>
      </c>
      <c r="V1822">
        <f>IF(selection!H1819=1,selection!N1819,NA())</f>
        <v/>
      </c>
      <c r="W1822">
        <f>IF(selection!H1819=0,selection!M1819,NA())</f>
        <v/>
      </c>
      <c r="X1822">
        <f>IF(selection!H1819=0,selection!N1819,NA())</f>
        <v/>
      </c>
    </row>
    <row r="1823">
      <c r="U1823">
        <f>IF(selection!H1820=1,selection!M1820,NA())</f>
        <v/>
      </c>
      <c r="V1823">
        <f>IF(selection!H1820=1,selection!N1820,NA())</f>
        <v/>
      </c>
      <c r="W1823">
        <f>IF(selection!H1820=0,selection!M1820,NA())</f>
        <v/>
      </c>
      <c r="X1823">
        <f>IF(selection!H1820=0,selection!N1820,NA())</f>
        <v/>
      </c>
    </row>
    <row r="1824">
      <c r="U1824">
        <f>IF(selection!H1821=1,selection!M1821,NA())</f>
        <v/>
      </c>
      <c r="V1824">
        <f>IF(selection!H1821=1,selection!N1821,NA())</f>
        <v/>
      </c>
      <c r="W1824">
        <f>IF(selection!H1821=0,selection!M1821,NA())</f>
        <v/>
      </c>
      <c r="X1824">
        <f>IF(selection!H1821=0,selection!N1821,NA())</f>
        <v/>
      </c>
    </row>
    <row r="1825">
      <c r="U1825">
        <f>IF(selection!H1822=1,selection!M1822,NA())</f>
        <v/>
      </c>
      <c r="V1825">
        <f>IF(selection!H1822=1,selection!N1822,NA())</f>
        <v/>
      </c>
      <c r="W1825">
        <f>IF(selection!H1822=0,selection!M1822,NA())</f>
        <v/>
      </c>
      <c r="X1825">
        <f>IF(selection!H1822=0,selection!N1822,NA())</f>
        <v/>
      </c>
    </row>
    <row r="1826">
      <c r="U1826">
        <f>IF(selection!H1823=1,selection!M1823,NA())</f>
        <v/>
      </c>
      <c r="V1826">
        <f>IF(selection!H1823=1,selection!N1823,NA())</f>
        <v/>
      </c>
      <c r="W1826">
        <f>IF(selection!H1823=0,selection!M1823,NA())</f>
        <v/>
      </c>
      <c r="X1826">
        <f>IF(selection!H1823=0,selection!N1823,NA())</f>
        <v/>
      </c>
    </row>
    <row r="1827">
      <c r="U1827">
        <f>IF(selection!H1824=1,selection!M1824,NA())</f>
        <v/>
      </c>
      <c r="V1827">
        <f>IF(selection!H1824=1,selection!N1824,NA())</f>
        <v/>
      </c>
      <c r="W1827">
        <f>IF(selection!H1824=0,selection!M1824,NA())</f>
        <v/>
      </c>
      <c r="X1827">
        <f>IF(selection!H1824=0,selection!N1824,NA())</f>
        <v/>
      </c>
    </row>
    <row r="1828">
      <c r="U1828">
        <f>IF(selection!H1825=1,selection!M1825,NA())</f>
        <v/>
      </c>
      <c r="V1828">
        <f>IF(selection!H1825=1,selection!N1825,NA())</f>
        <v/>
      </c>
      <c r="W1828">
        <f>IF(selection!H1825=0,selection!M1825,NA())</f>
        <v/>
      </c>
      <c r="X1828">
        <f>IF(selection!H1825=0,selection!N1825,NA())</f>
        <v/>
      </c>
    </row>
    <row r="1829">
      <c r="U1829">
        <f>IF(selection!H1826=1,selection!M1826,NA())</f>
        <v/>
      </c>
      <c r="V1829">
        <f>IF(selection!H1826=1,selection!N1826,NA())</f>
        <v/>
      </c>
      <c r="W1829">
        <f>IF(selection!H1826=0,selection!M1826,NA())</f>
        <v/>
      </c>
      <c r="X1829">
        <f>IF(selection!H1826=0,selection!N1826,NA())</f>
        <v/>
      </c>
    </row>
    <row r="1830">
      <c r="U1830">
        <f>IF(selection!H1827=1,selection!M1827,NA())</f>
        <v/>
      </c>
      <c r="V1830">
        <f>IF(selection!H1827=1,selection!N1827,NA())</f>
        <v/>
      </c>
      <c r="W1830">
        <f>IF(selection!H1827=0,selection!M1827,NA())</f>
        <v/>
      </c>
      <c r="X1830">
        <f>IF(selection!H1827=0,selection!N1827,NA())</f>
        <v/>
      </c>
    </row>
    <row r="1831">
      <c r="U1831">
        <f>IF(selection!H1828=1,selection!M1828,NA())</f>
        <v/>
      </c>
      <c r="V1831">
        <f>IF(selection!H1828=1,selection!N1828,NA())</f>
        <v/>
      </c>
      <c r="W1831">
        <f>IF(selection!H1828=0,selection!M1828,NA())</f>
        <v/>
      </c>
      <c r="X1831">
        <f>IF(selection!H1828=0,selection!N1828,NA())</f>
        <v/>
      </c>
    </row>
    <row r="1832">
      <c r="U1832">
        <f>IF(selection!H1829=1,selection!M1829,NA())</f>
        <v/>
      </c>
      <c r="V1832">
        <f>IF(selection!H1829=1,selection!N1829,NA())</f>
        <v/>
      </c>
      <c r="W1832">
        <f>IF(selection!H1829=0,selection!M1829,NA())</f>
        <v/>
      </c>
      <c r="X1832">
        <f>IF(selection!H1829=0,selection!N1829,NA())</f>
        <v/>
      </c>
    </row>
    <row r="1833">
      <c r="U1833">
        <f>IF(selection!H1830=1,selection!M1830,NA())</f>
        <v/>
      </c>
      <c r="V1833">
        <f>IF(selection!H1830=1,selection!N1830,NA())</f>
        <v/>
      </c>
      <c r="W1833">
        <f>IF(selection!H1830=0,selection!M1830,NA())</f>
        <v/>
      </c>
      <c r="X1833">
        <f>IF(selection!H1830=0,selection!N1830,NA())</f>
        <v/>
      </c>
    </row>
    <row r="1834">
      <c r="U1834">
        <f>IF(selection!H1831=1,selection!M1831,NA())</f>
        <v/>
      </c>
      <c r="V1834">
        <f>IF(selection!H1831=1,selection!N1831,NA())</f>
        <v/>
      </c>
      <c r="W1834">
        <f>IF(selection!H1831=0,selection!M1831,NA())</f>
        <v/>
      </c>
      <c r="X1834">
        <f>IF(selection!H1831=0,selection!N1831,NA())</f>
        <v/>
      </c>
    </row>
    <row r="1835">
      <c r="U1835">
        <f>IF(selection!H1832=1,selection!M1832,NA())</f>
        <v/>
      </c>
      <c r="V1835">
        <f>IF(selection!H1832=1,selection!N1832,NA())</f>
        <v/>
      </c>
      <c r="W1835">
        <f>IF(selection!H1832=0,selection!M1832,NA())</f>
        <v/>
      </c>
      <c r="X1835">
        <f>IF(selection!H1832=0,selection!N1832,NA())</f>
        <v/>
      </c>
    </row>
    <row r="1836">
      <c r="U1836">
        <f>IF(selection!H1833=1,selection!M1833,NA())</f>
        <v/>
      </c>
      <c r="V1836">
        <f>IF(selection!H1833=1,selection!N1833,NA())</f>
        <v/>
      </c>
      <c r="W1836">
        <f>IF(selection!H1833=0,selection!M1833,NA())</f>
        <v/>
      </c>
      <c r="X1836">
        <f>IF(selection!H1833=0,selection!N1833,NA())</f>
        <v/>
      </c>
    </row>
    <row r="1837">
      <c r="U1837">
        <f>IF(selection!H1834=1,selection!M1834,NA())</f>
        <v/>
      </c>
      <c r="V1837">
        <f>IF(selection!H1834=1,selection!N1834,NA())</f>
        <v/>
      </c>
      <c r="W1837">
        <f>IF(selection!H1834=0,selection!M1834,NA())</f>
        <v/>
      </c>
      <c r="X1837">
        <f>IF(selection!H1834=0,selection!N1834,NA())</f>
        <v/>
      </c>
    </row>
    <row r="1838">
      <c r="U1838">
        <f>IF(selection!H1835=1,selection!M1835,NA())</f>
        <v/>
      </c>
      <c r="V1838">
        <f>IF(selection!H1835=1,selection!N1835,NA())</f>
        <v/>
      </c>
      <c r="W1838">
        <f>IF(selection!H1835=0,selection!M1835,NA())</f>
        <v/>
      </c>
      <c r="X1838">
        <f>IF(selection!H1835=0,selection!N1835,NA())</f>
        <v/>
      </c>
    </row>
    <row r="1839">
      <c r="U1839">
        <f>IF(selection!H1836=1,selection!M1836,NA())</f>
        <v/>
      </c>
      <c r="V1839">
        <f>IF(selection!H1836=1,selection!N1836,NA())</f>
        <v/>
      </c>
      <c r="W1839">
        <f>IF(selection!H1836=0,selection!M1836,NA())</f>
        <v/>
      </c>
      <c r="X1839">
        <f>IF(selection!H1836=0,selection!N1836,NA())</f>
        <v/>
      </c>
    </row>
    <row r="1840">
      <c r="U1840">
        <f>IF(selection!H1837=1,selection!M1837,NA())</f>
        <v/>
      </c>
      <c r="V1840">
        <f>IF(selection!H1837=1,selection!N1837,NA())</f>
        <v/>
      </c>
      <c r="W1840">
        <f>IF(selection!H1837=0,selection!M1837,NA())</f>
        <v/>
      </c>
      <c r="X1840">
        <f>IF(selection!H1837=0,selection!N1837,NA())</f>
        <v/>
      </c>
    </row>
    <row r="1841">
      <c r="U1841">
        <f>IF(selection!H1838=1,selection!M1838,NA())</f>
        <v/>
      </c>
      <c r="V1841">
        <f>IF(selection!H1838=1,selection!N1838,NA())</f>
        <v/>
      </c>
      <c r="W1841">
        <f>IF(selection!H1838=0,selection!M1838,NA())</f>
        <v/>
      </c>
      <c r="X1841">
        <f>IF(selection!H1838=0,selection!N1838,NA())</f>
        <v/>
      </c>
    </row>
    <row r="1842">
      <c r="U1842">
        <f>IF(selection!H1839=1,selection!M1839,NA())</f>
        <v/>
      </c>
      <c r="V1842">
        <f>IF(selection!H1839=1,selection!N1839,NA())</f>
        <v/>
      </c>
      <c r="W1842">
        <f>IF(selection!H1839=0,selection!M1839,NA())</f>
        <v/>
      </c>
      <c r="X1842">
        <f>IF(selection!H1839=0,selection!N1839,NA())</f>
        <v/>
      </c>
    </row>
    <row r="1843">
      <c r="U1843">
        <f>IF(selection!H1840=1,selection!M1840,NA())</f>
        <v/>
      </c>
      <c r="V1843">
        <f>IF(selection!H1840=1,selection!N1840,NA())</f>
        <v/>
      </c>
      <c r="W1843">
        <f>IF(selection!H1840=0,selection!M1840,NA())</f>
        <v/>
      </c>
      <c r="X1843">
        <f>IF(selection!H1840=0,selection!N1840,NA())</f>
        <v/>
      </c>
    </row>
    <row r="1844">
      <c r="U1844">
        <f>IF(selection!H1841=1,selection!M1841,NA())</f>
        <v/>
      </c>
      <c r="V1844">
        <f>IF(selection!H1841=1,selection!N1841,NA())</f>
        <v/>
      </c>
      <c r="W1844">
        <f>IF(selection!H1841=0,selection!M1841,NA())</f>
        <v/>
      </c>
      <c r="X1844">
        <f>IF(selection!H1841=0,selection!N1841,NA())</f>
        <v/>
      </c>
    </row>
    <row r="1845">
      <c r="U1845">
        <f>IF(selection!H1842=1,selection!M1842,NA())</f>
        <v/>
      </c>
      <c r="V1845">
        <f>IF(selection!H1842=1,selection!N1842,NA())</f>
        <v/>
      </c>
      <c r="W1845">
        <f>IF(selection!H1842=0,selection!M1842,NA())</f>
        <v/>
      </c>
      <c r="X1845">
        <f>IF(selection!H1842=0,selection!N1842,NA())</f>
        <v/>
      </c>
    </row>
    <row r="1846">
      <c r="U1846">
        <f>IF(selection!H1843=1,selection!M1843,NA())</f>
        <v/>
      </c>
      <c r="V1846">
        <f>IF(selection!H1843=1,selection!N1843,NA())</f>
        <v/>
      </c>
      <c r="W1846">
        <f>IF(selection!H1843=0,selection!M1843,NA())</f>
        <v/>
      </c>
      <c r="X1846">
        <f>IF(selection!H1843=0,selection!N1843,NA())</f>
        <v/>
      </c>
    </row>
    <row r="1847">
      <c r="U1847">
        <f>IF(selection!H1844=1,selection!M1844,NA())</f>
        <v/>
      </c>
      <c r="V1847">
        <f>IF(selection!H1844=1,selection!N1844,NA())</f>
        <v/>
      </c>
      <c r="W1847">
        <f>IF(selection!H1844=0,selection!M1844,NA())</f>
        <v/>
      </c>
      <c r="X1847">
        <f>IF(selection!H1844=0,selection!N1844,NA())</f>
        <v/>
      </c>
    </row>
    <row r="1848">
      <c r="U1848">
        <f>IF(selection!H1845=1,selection!M1845,NA())</f>
        <v/>
      </c>
      <c r="V1848">
        <f>IF(selection!H1845=1,selection!N1845,NA())</f>
        <v/>
      </c>
      <c r="W1848">
        <f>IF(selection!H1845=0,selection!M1845,NA())</f>
        <v/>
      </c>
      <c r="X1848">
        <f>IF(selection!H1845=0,selection!N1845,NA())</f>
        <v/>
      </c>
    </row>
    <row r="1849">
      <c r="U1849">
        <f>IF(selection!H1846=1,selection!M1846,NA())</f>
        <v/>
      </c>
      <c r="V1849">
        <f>IF(selection!H1846=1,selection!N1846,NA())</f>
        <v/>
      </c>
      <c r="W1849">
        <f>IF(selection!H1846=0,selection!M1846,NA())</f>
        <v/>
      </c>
      <c r="X1849">
        <f>IF(selection!H1846=0,selection!N1846,NA())</f>
        <v/>
      </c>
    </row>
    <row r="1850">
      <c r="U1850">
        <f>IF(selection!H1847=1,selection!M1847,NA())</f>
        <v/>
      </c>
      <c r="V1850">
        <f>IF(selection!H1847=1,selection!N1847,NA())</f>
        <v/>
      </c>
      <c r="W1850">
        <f>IF(selection!H1847=0,selection!M1847,NA())</f>
        <v/>
      </c>
      <c r="X1850">
        <f>IF(selection!H1847=0,selection!N1847,NA())</f>
        <v/>
      </c>
    </row>
    <row r="1851">
      <c r="U1851">
        <f>IF(selection!H1848=1,selection!M1848,NA())</f>
        <v/>
      </c>
      <c r="V1851">
        <f>IF(selection!H1848=1,selection!N1848,NA())</f>
        <v/>
      </c>
      <c r="W1851">
        <f>IF(selection!H1848=0,selection!M1848,NA())</f>
        <v/>
      </c>
      <c r="X1851">
        <f>IF(selection!H1848=0,selection!N1848,NA())</f>
        <v/>
      </c>
    </row>
    <row r="1852">
      <c r="U1852">
        <f>IF(selection!H1849=1,selection!M1849,NA())</f>
        <v/>
      </c>
      <c r="V1852">
        <f>IF(selection!H1849=1,selection!N1849,NA())</f>
        <v/>
      </c>
      <c r="W1852">
        <f>IF(selection!H1849=0,selection!M1849,NA())</f>
        <v/>
      </c>
      <c r="X1852">
        <f>IF(selection!H1849=0,selection!N1849,NA())</f>
        <v/>
      </c>
    </row>
    <row r="1853">
      <c r="U1853">
        <f>IF(selection!H1850=1,selection!M1850,NA())</f>
        <v/>
      </c>
      <c r="V1853">
        <f>IF(selection!H1850=1,selection!N1850,NA())</f>
        <v/>
      </c>
      <c r="W1853">
        <f>IF(selection!H1850=0,selection!M1850,NA())</f>
        <v/>
      </c>
      <c r="X1853">
        <f>IF(selection!H1850=0,selection!N1850,NA())</f>
        <v/>
      </c>
    </row>
    <row r="1854">
      <c r="U1854">
        <f>IF(selection!H1851=1,selection!M1851,NA())</f>
        <v/>
      </c>
      <c r="V1854">
        <f>IF(selection!H1851=1,selection!N1851,NA())</f>
        <v/>
      </c>
      <c r="W1854">
        <f>IF(selection!H1851=0,selection!M1851,NA())</f>
        <v/>
      </c>
      <c r="X1854">
        <f>IF(selection!H1851=0,selection!N1851,NA())</f>
        <v/>
      </c>
    </row>
    <row r="1855">
      <c r="U1855">
        <f>IF(selection!H1852=1,selection!M1852,NA())</f>
        <v/>
      </c>
      <c r="V1855">
        <f>IF(selection!H1852=1,selection!N1852,NA())</f>
        <v/>
      </c>
      <c r="W1855">
        <f>IF(selection!H1852=0,selection!M1852,NA())</f>
        <v/>
      </c>
      <c r="X1855">
        <f>IF(selection!H1852=0,selection!N1852,NA())</f>
        <v/>
      </c>
    </row>
    <row r="1856">
      <c r="U1856">
        <f>IF(selection!H1853=1,selection!M1853,NA())</f>
        <v/>
      </c>
      <c r="V1856">
        <f>IF(selection!H1853=1,selection!N1853,NA())</f>
        <v/>
      </c>
      <c r="W1856">
        <f>IF(selection!H1853=0,selection!M1853,NA())</f>
        <v/>
      </c>
      <c r="X1856">
        <f>IF(selection!H1853=0,selection!N1853,NA())</f>
        <v/>
      </c>
    </row>
    <row r="1857">
      <c r="U1857">
        <f>IF(selection!H1854=1,selection!M1854,NA())</f>
        <v/>
      </c>
      <c r="V1857">
        <f>IF(selection!H1854=1,selection!N1854,NA())</f>
        <v/>
      </c>
      <c r="W1857">
        <f>IF(selection!H1854=0,selection!M1854,NA())</f>
        <v/>
      </c>
      <c r="X1857">
        <f>IF(selection!H1854=0,selection!N1854,NA())</f>
        <v/>
      </c>
    </row>
    <row r="1858">
      <c r="U1858">
        <f>IF(selection!H1855=1,selection!M1855,NA())</f>
        <v/>
      </c>
      <c r="V1858">
        <f>IF(selection!H1855=1,selection!N1855,NA())</f>
        <v/>
      </c>
      <c r="W1858">
        <f>IF(selection!H1855=0,selection!M1855,NA())</f>
        <v/>
      </c>
      <c r="X1858">
        <f>IF(selection!H1855=0,selection!N1855,NA())</f>
        <v/>
      </c>
    </row>
    <row r="1859">
      <c r="U1859">
        <f>IF(selection!H1856=1,selection!M1856,NA())</f>
        <v/>
      </c>
      <c r="V1859">
        <f>IF(selection!H1856=1,selection!N1856,NA())</f>
        <v/>
      </c>
      <c r="W1859">
        <f>IF(selection!H1856=0,selection!M1856,NA())</f>
        <v/>
      </c>
      <c r="X1859">
        <f>IF(selection!H1856=0,selection!N1856,NA())</f>
        <v/>
      </c>
    </row>
    <row r="1860">
      <c r="U1860">
        <f>IF(selection!H1857=1,selection!M1857,NA())</f>
        <v/>
      </c>
      <c r="V1860">
        <f>IF(selection!H1857=1,selection!N1857,NA())</f>
        <v/>
      </c>
      <c r="W1860">
        <f>IF(selection!H1857=0,selection!M1857,NA())</f>
        <v/>
      </c>
      <c r="X1860">
        <f>IF(selection!H1857=0,selection!N1857,NA())</f>
        <v/>
      </c>
    </row>
    <row r="1861">
      <c r="U1861">
        <f>IF(selection!H1858=1,selection!M1858,NA())</f>
        <v/>
      </c>
      <c r="V1861">
        <f>IF(selection!H1858=1,selection!N1858,NA())</f>
        <v/>
      </c>
      <c r="W1861">
        <f>IF(selection!H1858=0,selection!M1858,NA())</f>
        <v/>
      </c>
      <c r="X1861">
        <f>IF(selection!H1858=0,selection!N1858,NA())</f>
        <v/>
      </c>
    </row>
    <row r="1862">
      <c r="U1862">
        <f>IF(selection!H1859=1,selection!M1859,NA())</f>
        <v/>
      </c>
      <c r="V1862">
        <f>IF(selection!H1859=1,selection!N1859,NA())</f>
        <v/>
      </c>
      <c r="W1862">
        <f>IF(selection!H1859=0,selection!M1859,NA())</f>
        <v/>
      </c>
      <c r="X1862">
        <f>IF(selection!H1859=0,selection!N1859,NA())</f>
        <v/>
      </c>
    </row>
    <row r="1863">
      <c r="U1863">
        <f>IF(selection!H1860=1,selection!M1860,NA())</f>
        <v/>
      </c>
      <c r="V1863">
        <f>IF(selection!H1860=1,selection!N1860,NA())</f>
        <v/>
      </c>
      <c r="W1863">
        <f>IF(selection!H1860=0,selection!M1860,NA())</f>
        <v/>
      </c>
      <c r="X1863">
        <f>IF(selection!H1860=0,selection!N1860,NA())</f>
        <v/>
      </c>
    </row>
    <row r="1864">
      <c r="U1864">
        <f>IF(selection!H1861=1,selection!M1861,NA())</f>
        <v/>
      </c>
      <c r="V1864">
        <f>IF(selection!H1861=1,selection!N1861,NA())</f>
        <v/>
      </c>
      <c r="W1864">
        <f>IF(selection!H1861=0,selection!M1861,NA())</f>
        <v/>
      </c>
      <c r="X1864">
        <f>IF(selection!H1861=0,selection!N1861,NA())</f>
        <v/>
      </c>
    </row>
    <row r="1865">
      <c r="U1865">
        <f>IF(selection!H1862=1,selection!M1862,NA())</f>
        <v/>
      </c>
      <c r="V1865">
        <f>IF(selection!H1862=1,selection!N1862,NA())</f>
        <v/>
      </c>
      <c r="W1865">
        <f>IF(selection!H1862=0,selection!M1862,NA())</f>
        <v/>
      </c>
      <c r="X1865">
        <f>IF(selection!H1862=0,selection!N1862,NA())</f>
        <v/>
      </c>
    </row>
    <row r="1866">
      <c r="U1866">
        <f>IF(selection!H1863=1,selection!M1863,NA())</f>
        <v/>
      </c>
      <c r="V1866">
        <f>IF(selection!H1863=1,selection!N1863,NA())</f>
        <v/>
      </c>
      <c r="W1866">
        <f>IF(selection!H1863=0,selection!M1863,NA())</f>
        <v/>
      </c>
      <c r="X1866">
        <f>IF(selection!H1863=0,selection!N1863,NA())</f>
        <v/>
      </c>
    </row>
    <row r="1867">
      <c r="U1867">
        <f>IF(selection!H1864=1,selection!M1864,NA())</f>
        <v/>
      </c>
      <c r="V1867">
        <f>IF(selection!H1864=1,selection!N1864,NA())</f>
        <v/>
      </c>
      <c r="W1867">
        <f>IF(selection!H1864=0,selection!M1864,NA())</f>
        <v/>
      </c>
      <c r="X1867">
        <f>IF(selection!H1864=0,selection!N1864,NA())</f>
        <v/>
      </c>
    </row>
    <row r="1868">
      <c r="U1868">
        <f>IF(selection!H1865=1,selection!M1865,NA())</f>
        <v/>
      </c>
      <c r="V1868">
        <f>IF(selection!H1865=1,selection!N1865,NA())</f>
        <v/>
      </c>
      <c r="W1868">
        <f>IF(selection!H1865=0,selection!M1865,NA())</f>
        <v/>
      </c>
      <c r="X1868">
        <f>IF(selection!H1865=0,selection!N1865,NA())</f>
        <v/>
      </c>
    </row>
    <row r="1869">
      <c r="U1869">
        <f>IF(selection!H1866=1,selection!M1866,NA())</f>
        <v/>
      </c>
      <c r="V1869">
        <f>IF(selection!H1866=1,selection!N1866,NA())</f>
        <v/>
      </c>
      <c r="W1869">
        <f>IF(selection!H1866=0,selection!M1866,NA())</f>
        <v/>
      </c>
      <c r="X1869">
        <f>IF(selection!H1866=0,selection!N1866,NA())</f>
        <v/>
      </c>
    </row>
    <row r="1870">
      <c r="U1870">
        <f>IF(selection!H1867=1,selection!M1867,NA())</f>
        <v/>
      </c>
      <c r="V1870">
        <f>IF(selection!H1867=1,selection!N1867,NA())</f>
        <v/>
      </c>
      <c r="W1870">
        <f>IF(selection!H1867=0,selection!M1867,NA())</f>
        <v/>
      </c>
      <c r="X1870">
        <f>IF(selection!H1867=0,selection!N1867,NA())</f>
        <v/>
      </c>
    </row>
    <row r="1871">
      <c r="U1871">
        <f>IF(selection!H1868=1,selection!M1868,NA())</f>
        <v/>
      </c>
      <c r="V1871">
        <f>IF(selection!H1868=1,selection!N1868,NA())</f>
        <v/>
      </c>
      <c r="W1871">
        <f>IF(selection!H1868=0,selection!M1868,NA())</f>
        <v/>
      </c>
      <c r="X1871">
        <f>IF(selection!H1868=0,selection!N1868,NA())</f>
        <v/>
      </c>
    </row>
    <row r="1872">
      <c r="U1872">
        <f>IF(selection!H1869=1,selection!M1869,NA())</f>
        <v/>
      </c>
      <c r="V1872">
        <f>IF(selection!H1869=1,selection!N1869,NA())</f>
        <v/>
      </c>
      <c r="W1872">
        <f>IF(selection!H1869=0,selection!M1869,NA())</f>
        <v/>
      </c>
      <c r="X1872">
        <f>IF(selection!H1869=0,selection!N1869,NA())</f>
        <v/>
      </c>
    </row>
    <row r="1873">
      <c r="U1873">
        <f>IF(selection!H1870=1,selection!M1870,NA())</f>
        <v/>
      </c>
      <c r="V1873">
        <f>IF(selection!H1870=1,selection!N1870,NA())</f>
        <v/>
      </c>
      <c r="W1873">
        <f>IF(selection!H1870=0,selection!M1870,NA())</f>
        <v/>
      </c>
      <c r="X1873">
        <f>IF(selection!H1870=0,selection!N1870,NA())</f>
        <v/>
      </c>
    </row>
    <row r="1874">
      <c r="U1874">
        <f>IF(selection!H1871=1,selection!M1871,NA())</f>
        <v/>
      </c>
      <c r="V1874">
        <f>IF(selection!H1871=1,selection!N1871,NA())</f>
        <v/>
      </c>
      <c r="W1874">
        <f>IF(selection!H1871=0,selection!M1871,NA())</f>
        <v/>
      </c>
      <c r="X1874">
        <f>IF(selection!H1871=0,selection!N1871,NA())</f>
        <v/>
      </c>
    </row>
    <row r="1875">
      <c r="U1875">
        <f>IF(selection!H1872=1,selection!M1872,NA())</f>
        <v/>
      </c>
      <c r="V1875">
        <f>IF(selection!H1872=1,selection!N1872,NA())</f>
        <v/>
      </c>
      <c r="W1875">
        <f>IF(selection!H1872=0,selection!M1872,NA())</f>
        <v/>
      </c>
      <c r="X1875">
        <f>IF(selection!H1872=0,selection!N1872,NA())</f>
        <v/>
      </c>
    </row>
    <row r="1876">
      <c r="U1876">
        <f>IF(selection!H1873=1,selection!M1873,NA())</f>
        <v/>
      </c>
      <c r="V1876">
        <f>IF(selection!H1873=1,selection!N1873,NA())</f>
        <v/>
      </c>
      <c r="W1876">
        <f>IF(selection!H1873=0,selection!M1873,NA())</f>
        <v/>
      </c>
      <c r="X1876">
        <f>IF(selection!H1873=0,selection!N1873,NA())</f>
        <v/>
      </c>
    </row>
    <row r="1877">
      <c r="U1877">
        <f>IF(selection!H1874=1,selection!M1874,NA())</f>
        <v/>
      </c>
      <c r="V1877">
        <f>IF(selection!H1874=1,selection!N1874,NA())</f>
        <v/>
      </c>
      <c r="W1877">
        <f>IF(selection!H1874=0,selection!M1874,NA())</f>
        <v/>
      </c>
      <c r="X1877">
        <f>IF(selection!H1874=0,selection!N1874,NA())</f>
        <v/>
      </c>
    </row>
    <row r="1878">
      <c r="U1878">
        <f>IF(selection!H1875=1,selection!M1875,NA())</f>
        <v/>
      </c>
      <c r="V1878">
        <f>IF(selection!H1875=1,selection!N1875,NA())</f>
        <v/>
      </c>
      <c r="W1878">
        <f>IF(selection!H1875=0,selection!M1875,NA())</f>
        <v/>
      </c>
      <c r="X1878">
        <f>IF(selection!H1875=0,selection!N1875,NA())</f>
        <v/>
      </c>
    </row>
    <row r="1879">
      <c r="U1879">
        <f>IF(selection!H1876=1,selection!M1876,NA())</f>
        <v/>
      </c>
      <c r="V1879">
        <f>IF(selection!H1876=1,selection!N1876,NA())</f>
        <v/>
      </c>
      <c r="W1879">
        <f>IF(selection!H1876=0,selection!M1876,NA())</f>
        <v/>
      </c>
      <c r="X1879">
        <f>IF(selection!H1876=0,selection!N1876,NA())</f>
        <v/>
      </c>
    </row>
    <row r="1880">
      <c r="U1880">
        <f>IF(selection!H1877=1,selection!M1877,NA())</f>
        <v/>
      </c>
      <c r="V1880">
        <f>IF(selection!H1877=1,selection!N1877,NA())</f>
        <v/>
      </c>
      <c r="W1880">
        <f>IF(selection!H1877=0,selection!M1877,NA())</f>
        <v/>
      </c>
      <c r="X1880">
        <f>IF(selection!H1877=0,selection!N1877,NA())</f>
        <v/>
      </c>
    </row>
    <row r="1881">
      <c r="U1881">
        <f>IF(selection!H1878=1,selection!M1878,NA())</f>
        <v/>
      </c>
      <c r="V1881">
        <f>IF(selection!H1878=1,selection!N1878,NA())</f>
        <v/>
      </c>
      <c r="W1881">
        <f>IF(selection!H1878=0,selection!M1878,NA())</f>
        <v/>
      </c>
      <c r="X1881">
        <f>IF(selection!H1878=0,selection!N1878,NA())</f>
        <v/>
      </c>
    </row>
    <row r="1882">
      <c r="U1882">
        <f>IF(selection!H1879=1,selection!M1879,NA())</f>
        <v/>
      </c>
      <c r="V1882">
        <f>IF(selection!H1879=1,selection!N1879,NA())</f>
        <v/>
      </c>
      <c r="W1882">
        <f>IF(selection!H1879=0,selection!M1879,NA())</f>
        <v/>
      </c>
      <c r="X1882">
        <f>IF(selection!H1879=0,selection!N1879,NA())</f>
        <v/>
      </c>
    </row>
    <row r="1883">
      <c r="U1883">
        <f>IF(selection!H1880=1,selection!M1880,NA())</f>
        <v/>
      </c>
      <c r="V1883">
        <f>IF(selection!H1880=1,selection!N1880,NA())</f>
        <v/>
      </c>
      <c r="W1883">
        <f>IF(selection!H1880=0,selection!M1880,NA())</f>
        <v/>
      </c>
      <c r="X1883">
        <f>IF(selection!H1880=0,selection!N1880,NA())</f>
        <v/>
      </c>
    </row>
    <row r="1884">
      <c r="U1884">
        <f>IF(selection!H1881=1,selection!M1881,NA())</f>
        <v/>
      </c>
      <c r="V1884">
        <f>IF(selection!H1881=1,selection!N1881,NA())</f>
        <v/>
      </c>
      <c r="W1884">
        <f>IF(selection!H1881=0,selection!M1881,NA())</f>
        <v/>
      </c>
      <c r="X1884">
        <f>IF(selection!H1881=0,selection!N1881,NA())</f>
        <v/>
      </c>
    </row>
    <row r="1885">
      <c r="U1885">
        <f>IF(selection!H1882=1,selection!M1882,NA())</f>
        <v/>
      </c>
      <c r="V1885">
        <f>IF(selection!H1882=1,selection!N1882,NA())</f>
        <v/>
      </c>
      <c r="W1885">
        <f>IF(selection!H1882=0,selection!M1882,NA())</f>
        <v/>
      </c>
      <c r="X1885">
        <f>IF(selection!H1882=0,selection!N1882,NA())</f>
        <v/>
      </c>
    </row>
    <row r="1886">
      <c r="U1886">
        <f>IF(selection!H1883=1,selection!M1883,NA())</f>
        <v/>
      </c>
      <c r="V1886">
        <f>IF(selection!H1883=1,selection!N1883,NA())</f>
        <v/>
      </c>
      <c r="W1886">
        <f>IF(selection!H1883=0,selection!M1883,NA())</f>
        <v/>
      </c>
      <c r="X1886">
        <f>IF(selection!H1883=0,selection!N1883,NA())</f>
        <v/>
      </c>
    </row>
    <row r="1887">
      <c r="U1887">
        <f>IF(selection!H1884=1,selection!M1884,NA())</f>
        <v/>
      </c>
      <c r="V1887">
        <f>IF(selection!H1884=1,selection!N1884,NA())</f>
        <v/>
      </c>
      <c r="W1887">
        <f>IF(selection!H1884=0,selection!M1884,NA())</f>
        <v/>
      </c>
      <c r="X1887">
        <f>IF(selection!H1884=0,selection!N1884,NA())</f>
        <v/>
      </c>
    </row>
    <row r="1888">
      <c r="U1888">
        <f>IF(selection!H1885=1,selection!M1885,NA())</f>
        <v/>
      </c>
      <c r="V1888">
        <f>IF(selection!H1885=1,selection!N1885,NA())</f>
        <v/>
      </c>
      <c r="W1888">
        <f>IF(selection!H1885=0,selection!M1885,NA())</f>
        <v/>
      </c>
      <c r="X1888">
        <f>IF(selection!H1885=0,selection!N1885,NA())</f>
        <v/>
      </c>
    </row>
    <row r="1889">
      <c r="U1889">
        <f>IF(selection!H1886=1,selection!M1886,NA())</f>
        <v/>
      </c>
      <c r="V1889">
        <f>IF(selection!H1886=1,selection!N1886,NA())</f>
        <v/>
      </c>
      <c r="W1889">
        <f>IF(selection!H1886=0,selection!M1886,NA())</f>
        <v/>
      </c>
      <c r="X1889">
        <f>IF(selection!H1886=0,selection!N1886,NA())</f>
        <v/>
      </c>
    </row>
    <row r="1890">
      <c r="U1890">
        <f>IF(selection!H1887=1,selection!M1887,NA())</f>
        <v/>
      </c>
      <c r="V1890">
        <f>IF(selection!H1887=1,selection!N1887,NA())</f>
        <v/>
      </c>
      <c r="W1890">
        <f>IF(selection!H1887=0,selection!M1887,NA())</f>
        <v/>
      </c>
      <c r="X1890">
        <f>IF(selection!H1887=0,selection!N1887,NA())</f>
        <v/>
      </c>
    </row>
    <row r="1891">
      <c r="U1891">
        <f>IF(selection!H1888=1,selection!M1888,NA())</f>
        <v/>
      </c>
      <c r="V1891">
        <f>IF(selection!H1888=1,selection!N1888,NA())</f>
        <v/>
      </c>
      <c r="W1891">
        <f>IF(selection!H1888=0,selection!M1888,NA())</f>
        <v/>
      </c>
      <c r="X1891">
        <f>IF(selection!H1888=0,selection!N1888,NA())</f>
        <v/>
      </c>
    </row>
    <row r="1892">
      <c r="U1892">
        <f>IF(selection!H1889=1,selection!M1889,NA())</f>
        <v/>
      </c>
      <c r="V1892">
        <f>IF(selection!H1889=1,selection!N1889,NA())</f>
        <v/>
      </c>
      <c r="W1892">
        <f>IF(selection!H1889=0,selection!M1889,NA())</f>
        <v/>
      </c>
      <c r="X1892">
        <f>IF(selection!H1889=0,selection!N1889,NA())</f>
        <v/>
      </c>
    </row>
    <row r="1893">
      <c r="U1893">
        <f>IF(selection!H1890=1,selection!M1890,NA())</f>
        <v/>
      </c>
      <c r="V1893">
        <f>IF(selection!H1890=1,selection!N1890,NA())</f>
        <v/>
      </c>
      <c r="W1893">
        <f>IF(selection!H1890=0,selection!M1890,NA())</f>
        <v/>
      </c>
      <c r="X1893">
        <f>IF(selection!H1890=0,selection!N1890,NA())</f>
        <v/>
      </c>
    </row>
    <row r="1894">
      <c r="U1894">
        <f>IF(selection!H1891=1,selection!M1891,NA())</f>
        <v/>
      </c>
      <c r="V1894">
        <f>IF(selection!H1891=1,selection!N1891,NA())</f>
        <v/>
      </c>
      <c r="W1894">
        <f>IF(selection!H1891=0,selection!M1891,NA())</f>
        <v/>
      </c>
      <c r="X1894">
        <f>IF(selection!H1891=0,selection!N1891,NA())</f>
        <v/>
      </c>
    </row>
    <row r="1895">
      <c r="U1895">
        <f>IF(selection!H1892=1,selection!M1892,NA())</f>
        <v/>
      </c>
      <c r="V1895">
        <f>IF(selection!H1892=1,selection!N1892,NA())</f>
        <v/>
      </c>
      <c r="W1895">
        <f>IF(selection!H1892=0,selection!M1892,NA())</f>
        <v/>
      </c>
      <c r="X1895">
        <f>IF(selection!H1892=0,selection!N1892,NA())</f>
        <v/>
      </c>
    </row>
    <row r="1896">
      <c r="U1896">
        <f>IF(selection!H1893=1,selection!M1893,NA())</f>
        <v/>
      </c>
      <c r="V1896">
        <f>IF(selection!H1893=1,selection!N1893,NA())</f>
        <v/>
      </c>
      <c r="W1896">
        <f>IF(selection!H1893=0,selection!M1893,NA())</f>
        <v/>
      </c>
      <c r="X1896">
        <f>IF(selection!H1893=0,selection!N1893,NA())</f>
        <v/>
      </c>
    </row>
    <row r="1897">
      <c r="U1897">
        <f>IF(selection!H1894=1,selection!M1894,NA())</f>
        <v/>
      </c>
      <c r="V1897">
        <f>IF(selection!H1894=1,selection!N1894,NA())</f>
        <v/>
      </c>
      <c r="W1897">
        <f>IF(selection!H1894=0,selection!M1894,NA())</f>
        <v/>
      </c>
      <c r="X1897">
        <f>IF(selection!H1894=0,selection!N1894,NA())</f>
        <v/>
      </c>
    </row>
    <row r="1898">
      <c r="U1898">
        <f>IF(selection!H1895=1,selection!M1895,NA())</f>
        <v/>
      </c>
      <c r="V1898">
        <f>IF(selection!H1895=1,selection!N1895,NA())</f>
        <v/>
      </c>
      <c r="W1898">
        <f>IF(selection!H1895=0,selection!M1895,NA())</f>
        <v/>
      </c>
      <c r="X1898">
        <f>IF(selection!H1895=0,selection!N1895,NA())</f>
        <v/>
      </c>
    </row>
    <row r="1899">
      <c r="U1899">
        <f>IF(selection!H1896=1,selection!M1896,NA())</f>
        <v/>
      </c>
      <c r="V1899">
        <f>IF(selection!H1896=1,selection!N1896,NA())</f>
        <v/>
      </c>
      <c r="W1899">
        <f>IF(selection!H1896=0,selection!M1896,NA())</f>
        <v/>
      </c>
      <c r="X1899">
        <f>IF(selection!H1896=0,selection!N1896,NA())</f>
        <v/>
      </c>
    </row>
    <row r="1900">
      <c r="U1900">
        <f>IF(selection!H1897=1,selection!M1897,NA())</f>
        <v/>
      </c>
      <c r="V1900">
        <f>IF(selection!H1897=1,selection!N1897,NA())</f>
        <v/>
      </c>
      <c r="W1900">
        <f>IF(selection!H1897=0,selection!M1897,NA())</f>
        <v/>
      </c>
      <c r="X1900">
        <f>IF(selection!H1897=0,selection!N1897,NA())</f>
        <v/>
      </c>
    </row>
    <row r="1901">
      <c r="U1901">
        <f>IF(selection!H1898=1,selection!M1898,NA())</f>
        <v/>
      </c>
      <c r="V1901">
        <f>IF(selection!H1898=1,selection!N1898,NA())</f>
        <v/>
      </c>
      <c r="W1901">
        <f>IF(selection!H1898=0,selection!M1898,NA())</f>
        <v/>
      </c>
      <c r="X1901">
        <f>IF(selection!H1898=0,selection!N1898,NA())</f>
        <v/>
      </c>
    </row>
    <row r="1902">
      <c r="U1902">
        <f>IF(selection!H1899=1,selection!M1899,NA())</f>
        <v/>
      </c>
      <c r="V1902">
        <f>IF(selection!H1899=1,selection!N1899,NA())</f>
        <v/>
      </c>
      <c r="W1902">
        <f>IF(selection!H1899=0,selection!M1899,NA())</f>
        <v/>
      </c>
      <c r="X1902">
        <f>IF(selection!H1899=0,selection!N1899,NA())</f>
        <v/>
      </c>
    </row>
    <row r="1903">
      <c r="U1903">
        <f>IF(selection!H1900=1,selection!M1900,NA())</f>
        <v/>
      </c>
      <c r="V1903">
        <f>IF(selection!H1900=1,selection!N1900,NA())</f>
        <v/>
      </c>
      <c r="W1903">
        <f>IF(selection!H1900=0,selection!M1900,NA())</f>
        <v/>
      </c>
      <c r="X1903">
        <f>IF(selection!H1900=0,selection!N1900,NA())</f>
        <v/>
      </c>
    </row>
    <row r="1904">
      <c r="U1904">
        <f>IF(selection!H1901=1,selection!M1901,NA())</f>
        <v/>
      </c>
      <c r="V1904">
        <f>IF(selection!H1901=1,selection!N1901,NA())</f>
        <v/>
      </c>
      <c r="W1904">
        <f>IF(selection!H1901=0,selection!M1901,NA())</f>
        <v/>
      </c>
      <c r="X1904">
        <f>IF(selection!H1901=0,selection!N1901,NA())</f>
        <v/>
      </c>
    </row>
    <row r="1905">
      <c r="U1905">
        <f>IF(selection!H1902=1,selection!M1902,NA())</f>
        <v/>
      </c>
      <c r="V1905">
        <f>IF(selection!H1902=1,selection!N1902,NA())</f>
        <v/>
      </c>
      <c r="W1905">
        <f>IF(selection!H1902=0,selection!M1902,NA())</f>
        <v/>
      </c>
      <c r="X1905">
        <f>IF(selection!H1902=0,selection!N1902,NA())</f>
        <v/>
      </c>
    </row>
    <row r="1906">
      <c r="U1906">
        <f>IF(selection!H1903=1,selection!M1903,NA())</f>
        <v/>
      </c>
      <c r="V1906">
        <f>IF(selection!H1903=1,selection!N1903,NA())</f>
        <v/>
      </c>
      <c r="W1906">
        <f>IF(selection!H1903=0,selection!M1903,NA())</f>
        <v/>
      </c>
      <c r="X1906">
        <f>IF(selection!H1903=0,selection!N1903,NA())</f>
        <v/>
      </c>
    </row>
    <row r="1907">
      <c r="U1907">
        <f>IF(selection!H1904=1,selection!M1904,NA())</f>
        <v/>
      </c>
      <c r="V1907">
        <f>IF(selection!H1904=1,selection!N1904,NA())</f>
        <v/>
      </c>
      <c r="W1907">
        <f>IF(selection!H1904=0,selection!M1904,NA())</f>
        <v/>
      </c>
      <c r="X1907">
        <f>IF(selection!H1904=0,selection!N1904,NA())</f>
        <v/>
      </c>
    </row>
    <row r="1908">
      <c r="U1908">
        <f>IF(selection!H1905=1,selection!M1905,NA())</f>
        <v/>
      </c>
      <c r="V1908">
        <f>IF(selection!H1905=1,selection!N1905,NA())</f>
        <v/>
      </c>
      <c r="W1908">
        <f>IF(selection!H1905=0,selection!M1905,NA())</f>
        <v/>
      </c>
      <c r="X1908">
        <f>IF(selection!H1905=0,selection!N1905,NA())</f>
        <v/>
      </c>
    </row>
    <row r="1909">
      <c r="U1909">
        <f>IF(selection!H1906=1,selection!M1906,NA())</f>
        <v/>
      </c>
      <c r="V1909">
        <f>IF(selection!H1906=1,selection!N1906,NA())</f>
        <v/>
      </c>
      <c r="W1909">
        <f>IF(selection!H1906=0,selection!M1906,NA())</f>
        <v/>
      </c>
      <c r="X1909">
        <f>IF(selection!H1906=0,selection!N1906,NA())</f>
        <v/>
      </c>
    </row>
    <row r="1910">
      <c r="U1910">
        <f>IF(selection!H1907=1,selection!M1907,NA())</f>
        <v/>
      </c>
      <c r="V1910">
        <f>IF(selection!H1907=1,selection!N1907,NA())</f>
        <v/>
      </c>
      <c r="W1910">
        <f>IF(selection!H1907=0,selection!M1907,NA())</f>
        <v/>
      </c>
      <c r="X1910">
        <f>IF(selection!H1907=0,selection!N1907,NA())</f>
        <v/>
      </c>
    </row>
    <row r="1911">
      <c r="U1911">
        <f>IF(selection!H1908=1,selection!M1908,NA())</f>
        <v/>
      </c>
      <c r="V1911">
        <f>IF(selection!H1908=1,selection!N1908,NA())</f>
        <v/>
      </c>
      <c r="W1911">
        <f>IF(selection!H1908=0,selection!M1908,NA())</f>
        <v/>
      </c>
      <c r="X1911">
        <f>IF(selection!H1908=0,selection!N1908,NA())</f>
        <v/>
      </c>
    </row>
    <row r="1912">
      <c r="U1912">
        <f>IF(selection!H1909=1,selection!M1909,NA())</f>
        <v/>
      </c>
      <c r="V1912">
        <f>IF(selection!H1909=1,selection!N1909,NA())</f>
        <v/>
      </c>
      <c r="W1912">
        <f>IF(selection!H1909=0,selection!M1909,NA())</f>
        <v/>
      </c>
      <c r="X1912">
        <f>IF(selection!H1909=0,selection!N1909,NA())</f>
        <v/>
      </c>
    </row>
    <row r="1913">
      <c r="U1913">
        <f>IF(selection!H1910=1,selection!M1910,NA())</f>
        <v/>
      </c>
      <c r="V1913">
        <f>IF(selection!H1910=1,selection!N1910,NA())</f>
        <v/>
      </c>
      <c r="W1913">
        <f>IF(selection!H1910=0,selection!M1910,NA())</f>
        <v/>
      </c>
      <c r="X1913">
        <f>IF(selection!H1910=0,selection!N1910,NA())</f>
        <v/>
      </c>
    </row>
    <row r="1914">
      <c r="U1914">
        <f>IF(selection!H1911=1,selection!M1911,NA())</f>
        <v/>
      </c>
      <c r="V1914">
        <f>IF(selection!H1911=1,selection!N1911,NA())</f>
        <v/>
      </c>
      <c r="W1914">
        <f>IF(selection!H1911=0,selection!M1911,NA())</f>
        <v/>
      </c>
      <c r="X1914">
        <f>IF(selection!H1911=0,selection!N1911,NA())</f>
        <v/>
      </c>
    </row>
    <row r="1915">
      <c r="U1915">
        <f>IF(selection!H1912=1,selection!M1912,NA())</f>
        <v/>
      </c>
      <c r="V1915">
        <f>IF(selection!H1912=1,selection!N1912,NA())</f>
        <v/>
      </c>
      <c r="W1915">
        <f>IF(selection!H1912=0,selection!M1912,NA())</f>
        <v/>
      </c>
      <c r="X1915">
        <f>IF(selection!H1912=0,selection!N1912,NA())</f>
        <v/>
      </c>
    </row>
    <row r="1916">
      <c r="U1916">
        <f>IF(selection!H1913=1,selection!M1913,NA())</f>
        <v/>
      </c>
      <c r="V1916">
        <f>IF(selection!H1913=1,selection!N1913,NA())</f>
        <v/>
      </c>
      <c r="W1916">
        <f>IF(selection!H1913=0,selection!M1913,NA())</f>
        <v/>
      </c>
      <c r="X1916">
        <f>IF(selection!H1913=0,selection!N1913,NA())</f>
        <v/>
      </c>
    </row>
    <row r="1917">
      <c r="U1917">
        <f>IF(selection!H1914=1,selection!M1914,NA())</f>
        <v/>
      </c>
      <c r="V1917">
        <f>IF(selection!H1914=1,selection!N1914,NA())</f>
        <v/>
      </c>
      <c r="W1917">
        <f>IF(selection!H1914=0,selection!M1914,NA())</f>
        <v/>
      </c>
      <c r="X1917">
        <f>IF(selection!H1914=0,selection!N1914,NA())</f>
        <v/>
      </c>
    </row>
    <row r="1918">
      <c r="U1918">
        <f>IF(selection!H1915=1,selection!M1915,NA())</f>
        <v/>
      </c>
      <c r="V1918">
        <f>IF(selection!H1915=1,selection!N1915,NA())</f>
        <v/>
      </c>
      <c r="W1918">
        <f>IF(selection!H1915=0,selection!M1915,NA())</f>
        <v/>
      </c>
      <c r="X1918">
        <f>IF(selection!H1915=0,selection!N1915,NA())</f>
        <v/>
      </c>
    </row>
    <row r="1919">
      <c r="U1919">
        <f>IF(selection!H1916=1,selection!M1916,NA())</f>
        <v/>
      </c>
      <c r="V1919">
        <f>IF(selection!H1916=1,selection!N1916,NA())</f>
        <v/>
      </c>
      <c r="W1919">
        <f>IF(selection!H1916=0,selection!M1916,NA())</f>
        <v/>
      </c>
      <c r="X1919">
        <f>IF(selection!H1916=0,selection!N1916,NA())</f>
        <v/>
      </c>
    </row>
    <row r="1920">
      <c r="U1920">
        <f>IF(selection!H1917=1,selection!M1917,NA())</f>
        <v/>
      </c>
      <c r="V1920">
        <f>IF(selection!H1917=1,selection!N1917,NA())</f>
        <v/>
      </c>
      <c r="W1920">
        <f>IF(selection!H1917=0,selection!M1917,NA())</f>
        <v/>
      </c>
      <c r="X1920">
        <f>IF(selection!H1917=0,selection!N1917,NA())</f>
        <v/>
      </c>
    </row>
    <row r="1921">
      <c r="U1921">
        <f>IF(selection!H1918=1,selection!M1918,NA())</f>
        <v/>
      </c>
      <c r="V1921">
        <f>IF(selection!H1918=1,selection!N1918,NA())</f>
        <v/>
      </c>
      <c r="W1921">
        <f>IF(selection!H1918=0,selection!M1918,NA())</f>
        <v/>
      </c>
      <c r="X1921">
        <f>IF(selection!H1918=0,selection!N1918,NA())</f>
        <v/>
      </c>
    </row>
    <row r="1922">
      <c r="U1922">
        <f>IF(selection!H1919=1,selection!M1919,NA())</f>
        <v/>
      </c>
      <c r="V1922">
        <f>IF(selection!H1919=1,selection!N1919,NA())</f>
        <v/>
      </c>
      <c r="W1922">
        <f>IF(selection!H1919=0,selection!M1919,NA())</f>
        <v/>
      </c>
      <c r="X1922">
        <f>IF(selection!H1919=0,selection!N1919,NA())</f>
        <v/>
      </c>
    </row>
    <row r="1923">
      <c r="U1923">
        <f>IF(selection!H1920=1,selection!M1920,NA())</f>
        <v/>
      </c>
      <c r="V1923">
        <f>IF(selection!H1920=1,selection!N1920,NA())</f>
        <v/>
      </c>
      <c r="W1923">
        <f>IF(selection!H1920=0,selection!M1920,NA())</f>
        <v/>
      </c>
      <c r="X1923">
        <f>IF(selection!H1920=0,selection!N1920,NA())</f>
        <v/>
      </c>
    </row>
    <row r="1924">
      <c r="U1924">
        <f>IF(selection!H1921=1,selection!M1921,NA())</f>
        <v/>
      </c>
      <c r="V1924">
        <f>IF(selection!H1921=1,selection!N1921,NA())</f>
        <v/>
      </c>
      <c r="W1924">
        <f>IF(selection!H1921=0,selection!M1921,NA())</f>
        <v/>
      </c>
      <c r="X1924">
        <f>IF(selection!H1921=0,selection!N1921,NA())</f>
        <v/>
      </c>
    </row>
    <row r="1925">
      <c r="U1925">
        <f>IF(selection!H1922=1,selection!M1922,NA())</f>
        <v/>
      </c>
      <c r="V1925">
        <f>IF(selection!H1922=1,selection!N1922,NA())</f>
        <v/>
      </c>
      <c r="W1925">
        <f>IF(selection!H1922=0,selection!M1922,NA())</f>
        <v/>
      </c>
      <c r="X1925">
        <f>IF(selection!H1922=0,selection!N1922,NA())</f>
        <v/>
      </c>
    </row>
    <row r="1926">
      <c r="U1926">
        <f>IF(selection!H1923=1,selection!M1923,NA())</f>
        <v/>
      </c>
      <c r="V1926">
        <f>IF(selection!H1923=1,selection!N1923,NA())</f>
        <v/>
      </c>
      <c r="W1926">
        <f>IF(selection!H1923=0,selection!M1923,NA())</f>
        <v/>
      </c>
      <c r="X1926">
        <f>IF(selection!H1923=0,selection!N1923,NA())</f>
        <v/>
      </c>
    </row>
    <row r="1927">
      <c r="U1927">
        <f>IF(selection!H1924=1,selection!M1924,NA())</f>
        <v/>
      </c>
      <c r="V1927">
        <f>IF(selection!H1924=1,selection!N1924,NA())</f>
        <v/>
      </c>
      <c r="W1927">
        <f>IF(selection!H1924=0,selection!M1924,NA())</f>
        <v/>
      </c>
      <c r="X1927">
        <f>IF(selection!H1924=0,selection!N1924,NA())</f>
        <v/>
      </c>
    </row>
    <row r="1928">
      <c r="U1928">
        <f>IF(selection!H1925=1,selection!M1925,NA())</f>
        <v/>
      </c>
      <c r="V1928">
        <f>IF(selection!H1925=1,selection!N1925,NA())</f>
        <v/>
      </c>
      <c r="W1928">
        <f>IF(selection!H1925=0,selection!M1925,NA())</f>
        <v/>
      </c>
      <c r="X1928">
        <f>IF(selection!H1925=0,selection!N1925,NA())</f>
        <v/>
      </c>
    </row>
    <row r="1929">
      <c r="U1929">
        <f>IF(selection!H1926=1,selection!M1926,NA())</f>
        <v/>
      </c>
      <c r="V1929">
        <f>IF(selection!H1926=1,selection!N1926,NA())</f>
        <v/>
      </c>
      <c r="W1929">
        <f>IF(selection!H1926=0,selection!M1926,NA())</f>
        <v/>
      </c>
      <c r="X1929">
        <f>IF(selection!H1926=0,selection!N1926,NA())</f>
        <v/>
      </c>
    </row>
    <row r="1930">
      <c r="U1930">
        <f>IF(selection!H1927=1,selection!M1927,NA())</f>
        <v/>
      </c>
      <c r="V1930">
        <f>IF(selection!H1927=1,selection!N1927,NA())</f>
        <v/>
      </c>
      <c r="W1930">
        <f>IF(selection!H1927=0,selection!M1927,NA())</f>
        <v/>
      </c>
      <c r="X1930">
        <f>IF(selection!H1927=0,selection!N1927,NA())</f>
        <v/>
      </c>
    </row>
    <row r="1931">
      <c r="U1931">
        <f>IF(selection!H1928=1,selection!M1928,NA())</f>
        <v/>
      </c>
      <c r="V1931">
        <f>IF(selection!H1928=1,selection!N1928,NA())</f>
        <v/>
      </c>
      <c r="W1931">
        <f>IF(selection!H1928=0,selection!M1928,NA())</f>
        <v/>
      </c>
      <c r="X1931">
        <f>IF(selection!H1928=0,selection!N1928,NA())</f>
        <v/>
      </c>
    </row>
    <row r="1932">
      <c r="U1932">
        <f>IF(selection!H1929=1,selection!M1929,NA())</f>
        <v/>
      </c>
      <c r="V1932">
        <f>IF(selection!H1929=1,selection!N1929,NA())</f>
        <v/>
      </c>
      <c r="W1932">
        <f>IF(selection!H1929=0,selection!M1929,NA())</f>
        <v/>
      </c>
      <c r="X1932">
        <f>IF(selection!H1929=0,selection!N1929,NA())</f>
        <v/>
      </c>
    </row>
    <row r="1933">
      <c r="U1933">
        <f>IF(selection!H1930=1,selection!M1930,NA())</f>
        <v/>
      </c>
      <c r="V1933">
        <f>IF(selection!H1930=1,selection!N1930,NA())</f>
        <v/>
      </c>
      <c r="W1933">
        <f>IF(selection!H1930=0,selection!M1930,NA())</f>
        <v/>
      </c>
      <c r="X1933">
        <f>IF(selection!H1930=0,selection!N1930,NA())</f>
        <v/>
      </c>
    </row>
    <row r="1934">
      <c r="U1934">
        <f>IF(selection!H1931=1,selection!M1931,NA())</f>
        <v/>
      </c>
      <c r="V1934">
        <f>IF(selection!H1931=1,selection!N1931,NA())</f>
        <v/>
      </c>
      <c r="W1934">
        <f>IF(selection!H1931=0,selection!M1931,NA())</f>
        <v/>
      </c>
      <c r="X1934">
        <f>IF(selection!H1931=0,selection!N1931,NA())</f>
        <v/>
      </c>
    </row>
    <row r="1935">
      <c r="U1935">
        <f>IF(selection!H1932=1,selection!M1932,NA())</f>
        <v/>
      </c>
      <c r="V1935">
        <f>IF(selection!H1932=1,selection!N1932,NA())</f>
        <v/>
      </c>
      <c r="W1935">
        <f>IF(selection!H1932=0,selection!M1932,NA())</f>
        <v/>
      </c>
      <c r="X1935">
        <f>IF(selection!H1932=0,selection!N1932,NA())</f>
        <v/>
      </c>
    </row>
    <row r="1936">
      <c r="U1936">
        <f>IF(selection!H1933=1,selection!M1933,NA())</f>
        <v/>
      </c>
      <c r="V1936">
        <f>IF(selection!H1933=1,selection!N1933,NA())</f>
        <v/>
      </c>
      <c r="W1936">
        <f>IF(selection!H1933=0,selection!M1933,NA())</f>
        <v/>
      </c>
      <c r="X1936">
        <f>IF(selection!H1933=0,selection!N1933,NA())</f>
        <v/>
      </c>
    </row>
    <row r="1937">
      <c r="U1937">
        <f>IF(selection!H1934=1,selection!M1934,NA())</f>
        <v/>
      </c>
      <c r="V1937">
        <f>IF(selection!H1934=1,selection!N1934,NA())</f>
        <v/>
      </c>
      <c r="W1937">
        <f>IF(selection!H1934=0,selection!M1934,NA())</f>
        <v/>
      </c>
      <c r="X1937">
        <f>IF(selection!H1934=0,selection!N1934,NA())</f>
        <v/>
      </c>
    </row>
    <row r="1938">
      <c r="U1938">
        <f>IF(selection!H1935=1,selection!M1935,NA())</f>
        <v/>
      </c>
      <c r="V1938">
        <f>IF(selection!H1935=1,selection!N1935,NA())</f>
        <v/>
      </c>
      <c r="W1938">
        <f>IF(selection!H1935=0,selection!M1935,NA())</f>
        <v/>
      </c>
      <c r="X1938">
        <f>IF(selection!H1935=0,selection!N1935,NA())</f>
        <v/>
      </c>
    </row>
    <row r="1939">
      <c r="U1939">
        <f>IF(selection!H1936=1,selection!M1936,NA())</f>
        <v/>
      </c>
      <c r="V1939">
        <f>IF(selection!H1936=1,selection!N1936,NA())</f>
        <v/>
      </c>
      <c r="W1939">
        <f>IF(selection!H1936=0,selection!M1936,NA())</f>
        <v/>
      </c>
      <c r="X1939">
        <f>IF(selection!H1936=0,selection!N1936,NA())</f>
        <v/>
      </c>
    </row>
    <row r="1940">
      <c r="U1940">
        <f>IF(selection!H1937=1,selection!M1937,NA())</f>
        <v/>
      </c>
      <c r="V1940">
        <f>IF(selection!H1937=1,selection!N1937,NA())</f>
        <v/>
      </c>
      <c r="W1940">
        <f>IF(selection!H1937=0,selection!M1937,NA())</f>
        <v/>
      </c>
      <c r="X1940">
        <f>IF(selection!H1937=0,selection!N1937,NA())</f>
        <v/>
      </c>
    </row>
    <row r="1941">
      <c r="U1941">
        <f>IF(selection!H1938=1,selection!M1938,NA())</f>
        <v/>
      </c>
      <c r="V1941">
        <f>IF(selection!H1938=1,selection!N1938,NA())</f>
        <v/>
      </c>
      <c r="W1941">
        <f>IF(selection!H1938=0,selection!M1938,NA())</f>
        <v/>
      </c>
      <c r="X1941">
        <f>IF(selection!H1938=0,selection!N1938,NA())</f>
        <v/>
      </c>
    </row>
    <row r="1942">
      <c r="U1942">
        <f>IF(selection!H1939=1,selection!M1939,NA())</f>
        <v/>
      </c>
      <c r="V1942">
        <f>IF(selection!H1939=1,selection!N1939,NA())</f>
        <v/>
      </c>
      <c r="W1942">
        <f>IF(selection!H1939=0,selection!M1939,NA())</f>
        <v/>
      </c>
      <c r="X1942">
        <f>IF(selection!H1939=0,selection!N1939,NA())</f>
        <v/>
      </c>
    </row>
    <row r="1943">
      <c r="U1943">
        <f>IF(selection!H1940=1,selection!M1940,NA())</f>
        <v/>
      </c>
      <c r="V1943">
        <f>IF(selection!H1940=1,selection!N1940,NA())</f>
        <v/>
      </c>
      <c r="W1943">
        <f>IF(selection!H1940=0,selection!M1940,NA())</f>
        <v/>
      </c>
      <c r="X1943">
        <f>IF(selection!H1940=0,selection!N1940,NA())</f>
        <v/>
      </c>
    </row>
    <row r="1944">
      <c r="U1944">
        <f>IF(selection!H1941=1,selection!M1941,NA())</f>
        <v/>
      </c>
      <c r="V1944">
        <f>IF(selection!H1941=1,selection!N1941,NA())</f>
        <v/>
      </c>
      <c r="W1944">
        <f>IF(selection!H1941=0,selection!M1941,NA())</f>
        <v/>
      </c>
      <c r="X1944">
        <f>IF(selection!H1941=0,selection!N1941,NA())</f>
        <v/>
      </c>
    </row>
    <row r="1945">
      <c r="U1945">
        <f>IF(selection!H1942=1,selection!M1942,NA())</f>
        <v/>
      </c>
      <c r="V1945">
        <f>IF(selection!H1942=1,selection!N1942,NA())</f>
        <v/>
      </c>
      <c r="W1945">
        <f>IF(selection!H1942=0,selection!M1942,NA())</f>
        <v/>
      </c>
      <c r="X1945">
        <f>IF(selection!H1942=0,selection!N1942,NA())</f>
        <v/>
      </c>
    </row>
    <row r="1946">
      <c r="U1946">
        <f>IF(selection!H1943=1,selection!M1943,NA())</f>
        <v/>
      </c>
      <c r="V1946">
        <f>IF(selection!H1943=1,selection!N1943,NA())</f>
        <v/>
      </c>
      <c r="W1946">
        <f>IF(selection!H1943=0,selection!M1943,NA())</f>
        <v/>
      </c>
      <c r="X1946">
        <f>IF(selection!H1943=0,selection!N1943,NA())</f>
        <v/>
      </c>
    </row>
    <row r="1947">
      <c r="U1947">
        <f>IF(selection!H1944=1,selection!M1944,NA())</f>
        <v/>
      </c>
      <c r="V1947">
        <f>IF(selection!H1944=1,selection!N1944,NA())</f>
        <v/>
      </c>
      <c r="W1947">
        <f>IF(selection!H1944=0,selection!M1944,NA())</f>
        <v/>
      </c>
      <c r="X1947">
        <f>IF(selection!H1944=0,selection!N1944,NA())</f>
        <v/>
      </c>
    </row>
    <row r="1948">
      <c r="U1948">
        <f>IF(selection!H1945=1,selection!M1945,NA())</f>
        <v/>
      </c>
      <c r="V1948">
        <f>IF(selection!H1945=1,selection!N1945,NA())</f>
        <v/>
      </c>
      <c r="W1948">
        <f>IF(selection!H1945=0,selection!M1945,NA())</f>
        <v/>
      </c>
      <c r="X1948">
        <f>IF(selection!H1945=0,selection!N1945,NA())</f>
        <v/>
      </c>
    </row>
    <row r="1949">
      <c r="U1949">
        <f>IF(selection!H1946=1,selection!M1946,NA())</f>
        <v/>
      </c>
      <c r="V1949">
        <f>IF(selection!H1946=1,selection!N1946,NA())</f>
        <v/>
      </c>
      <c r="W1949">
        <f>IF(selection!H1946=0,selection!M1946,NA())</f>
        <v/>
      </c>
      <c r="X1949">
        <f>IF(selection!H1946=0,selection!N1946,NA())</f>
        <v/>
      </c>
    </row>
    <row r="1950">
      <c r="U1950">
        <f>IF(selection!H1947=1,selection!M1947,NA())</f>
        <v/>
      </c>
      <c r="V1950">
        <f>IF(selection!H1947=1,selection!N1947,NA())</f>
        <v/>
      </c>
      <c r="W1950">
        <f>IF(selection!H1947=0,selection!M1947,NA())</f>
        <v/>
      </c>
      <c r="X1950">
        <f>IF(selection!H1947=0,selection!N1947,NA())</f>
        <v/>
      </c>
    </row>
    <row r="1951">
      <c r="U1951">
        <f>IF(selection!H1948=1,selection!M1948,NA())</f>
        <v/>
      </c>
      <c r="V1951">
        <f>IF(selection!H1948=1,selection!N1948,NA())</f>
        <v/>
      </c>
      <c r="W1951">
        <f>IF(selection!H1948=0,selection!M1948,NA())</f>
        <v/>
      </c>
      <c r="X1951">
        <f>IF(selection!H1948=0,selection!N1948,NA())</f>
        <v/>
      </c>
    </row>
    <row r="1952">
      <c r="U1952">
        <f>IF(selection!H1949=1,selection!M1949,NA())</f>
        <v/>
      </c>
      <c r="V1952">
        <f>IF(selection!H1949=1,selection!N1949,NA())</f>
        <v/>
      </c>
      <c r="W1952">
        <f>IF(selection!H1949=0,selection!M1949,NA())</f>
        <v/>
      </c>
      <c r="X1952">
        <f>IF(selection!H1949=0,selection!N1949,NA())</f>
        <v/>
      </c>
    </row>
    <row r="1953">
      <c r="U1953">
        <f>IF(selection!H1950=1,selection!M1950,NA())</f>
        <v/>
      </c>
      <c r="V1953">
        <f>IF(selection!H1950=1,selection!N1950,NA())</f>
        <v/>
      </c>
      <c r="W1953">
        <f>IF(selection!H1950=0,selection!M1950,NA())</f>
        <v/>
      </c>
      <c r="X1953">
        <f>IF(selection!H1950=0,selection!N1950,NA())</f>
        <v/>
      </c>
    </row>
    <row r="1954">
      <c r="U1954">
        <f>IF(selection!H1951=1,selection!M1951,NA())</f>
        <v/>
      </c>
      <c r="V1954">
        <f>IF(selection!H1951=1,selection!N1951,NA())</f>
        <v/>
      </c>
      <c r="W1954">
        <f>IF(selection!H1951=0,selection!M1951,NA())</f>
        <v/>
      </c>
      <c r="X1954">
        <f>IF(selection!H1951=0,selection!N1951,NA())</f>
        <v/>
      </c>
    </row>
    <row r="1955">
      <c r="U1955">
        <f>IF(selection!H1952=1,selection!M1952,NA())</f>
        <v/>
      </c>
      <c r="V1955">
        <f>IF(selection!H1952=1,selection!N1952,NA())</f>
        <v/>
      </c>
      <c r="W1955">
        <f>IF(selection!H1952=0,selection!M1952,NA())</f>
        <v/>
      </c>
      <c r="X1955">
        <f>IF(selection!H1952=0,selection!N1952,NA())</f>
        <v/>
      </c>
    </row>
    <row r="1956">
      <c r="U1956">
        <f>IF(selection!H1953=1,selection!M1953,NA())</f>
        <v/>
      </c>
      <c r="V1956">
        <f>IF(selection!H1953=1,selection!N1953,NA())</f>
        <v/>
      </c>
      <c r="W1956">
        <f>IF(selection!H1953=0,selection!M1953,NA())</f>
        <v/>
      </c>
      <c r="X1956">
        <f>IF(selection!H1953=0,selection!N1953,NA())</f>
        <v/>
      </c>
    </row>
    <row r="1957">
      <c r="U1957">
        <f>IF(selection!H1954=1,selection!M1954,NA())</f>
        <v/>
      </c>
      <c r="V1957">
        <f>IF(selection!H1954=1,selection!N1954,NA())</f>
        <v/>
      </c>
      <c r="W1957">
        <f>IF(selection!H1954=0,selection!M1954,NA())</f>
        <v/>
      </c>
      <c r="X1957">
        <f>IF(selection!H1954=0,selection!N1954,NA())</f>
        <v/>
      </c>
    </row>
    <row r="1958">
      <c r="U1958">
        <f>IF(selection!H1955=1,selection!M1955,NA())</f>
        <v/>
      </c>
      <c r="V1958">
        <f>IF(selection!H1955=1,selection!N1955,NA())</f>
        <v/>
      </c>
      <c r="W1958">
        <f>IF(selection!H1955=0,selection!M1955,NA())</f>
        <v/>
      </c>
      <c r="X1958">
        <f>IF(selection!H1955=0,selection!N1955,NA())</f>
        <v/>
      </c>
    </row>
    <row r="1959">
      <c r="U1959">
        <f>IF(selection!H1956=1,selection!M1956,NA())</f>
        <v/>
      </c>
      <c r="V1959">
        <f>IF(selection!H1956=1,selection!N1956,NA())</f>
        <v/>
      </c>
      <c r="W1959">
        <f>IF(selection!H1956=0,selection!M1956,NA())</f>
        <v/>
      </c>
      <c r="X1959">
        <f>IF(selection!H1956=0,selection!N1956,NA())</f>
        <v/>
      </c>
    </row>
    <row r="1960">
      <c r="U1960">
        <f>IF(selection!H1957=1,selection!M1957,NA())</f>
        <v/>
      </c>
      <c r="V1960">
        <f>IF(selection!H1957=1,selection!N1957,NA())</f>
        <v/>
      </c>
      <c r="W1960">
        <f>IF(selection!H1957=0,selection!M1957,NA())</f>
        <v/>
      </c>
      <c r="X1960">
        <f>IF(selection!H1957=0,selection!N1957,NA())</f>
        <v/>
      </c>
    </row>
    <row r="1961">
      <c r="U1961">
        <f>IF(selection!H1958=1,selection!M1958,NA())</f>
        <v/>
      </c>
      <c r="V1961">
        <f>IF(selection!H1958=1,selection!N1958,NA())</f>
        <v/>
      </c>
      <c r="W1961">
        <f>IF(selection!H1958=0,selection!M1958,NA())</f>
        <v/>
      </c>
      <c r="X1961">
        <f>IF(selection!H1958=0,selection!N1958,NA())</f>
        <v/>
      </c>
    </row>
    <row r="1962">
      <c r="U1962">
        <f>IF(selection!H1959=1,selection!M1959,NA())</f>
        <v/>
      </c>
      <c r="V1962">
        <f>IF(selection!H1959=1,selection!N1959,NA())</f>
        <v/>
      </c>
      <c r="W1962">
        <f>IF(selection!H1959=0,selection!M1959,NA())</f>
        <v/>
      </c>
      <c r="X1962">
        <f>IF(selection!H1959=0,selection!N1959,NA())</f>
        <v/>
      </c>
    </row>
    <row r="1963">
      <c r="U1963">
        <f>IF(selection!H1960=1,selection!M1960,NA())</f>
        <v/>
      </c>
      <c r="V1963">
        <f>IF(selection!H1960=1,selection!N1960,NA())</f>
        <v/>
      </c>
      <c r="W1963">
        <f>IF(selection!H1960=0,selection!M1960,NA())</f>
        <v/>
      </c>
      <c r="X1963">
        <f>IF(selection!H1960=0,selection!N1960,NA())</f>
        <v/>
      </c>
    </row>
    <row r="1964">
      <c r="U1964">
        <f>IF(selection!H1961=1,selection!M1961,NA())</f>
        <v/>
      </c>
      <c r="V1964">
        <f>IF(selection!H1961=1,selection!N1961,NA())</f>
        <v/>
      </c>
      <c r="W1964">
        <f>IF(selection!H1961=0,selection!M1961,NA())</f>
        <v/>
      </c>
      <c r="X1964">
        <f>IF(selection!H1961=0,selection!N1961,NA())</f>
        <v/>
      </c>
    </row>
    <row r="1965">
      <c r="U1965">
        <f>IF(selection!H1962=1,selection!M1962,NA())</f>
        <v/>
      </c>
      <c r="V1965">
        <f>IF(selection!H1962=1,selection!N1962,NA())</f>
        <v/>
      </c>
      <c r="W1965">
        <f>IF(selection!H1962=0,selection!M1962,NA())</f>
        <v/>
      </c>
      <c r="X1965">
        <f>IF(selection!H1962=0,selection!N1962,NA())</f>
        <v/>
      </c>
    </row>
    <row r="1966">
      <c r="U1966">
        <f>IF(selection!H1963=1,selection!M1963,NA())</f>
        <v/>
      </c>
      <c r="V1966">
        <f>IF(selection!H1963=1,selection!N1963,NA())</f>
        <v/>
      </c>
      <c r="W1966">
        <f>IF(selection!H1963=0,selection!M1963,NA())</f>
        <v/>
      </c>
      <c r="X1966">
        <f>IF(selection!H1963=0,selection!N1963,NA())</f>
        <v/>
      </c>
    </row>
    <row r="1967">
      <c r="U1967">
        <f>IF(selection!H1964=1,selection!M1964,NA())</f>
        <v/>
      </c>
      <c r="V1967">
        <f>IF(selection!H1964=1,selection!N1964,NA())</f>
        <v/>
      </c>
      <c r="W1967">
        <f>IF(selection!H1964=0,selection!M1964,NA())</f>
        <v/>
      </c>
      <c r="X1967">
        <f>IF(selection!H1964=0,selection!N1964,NA())</f>
        <v/>
      </c>
    </row>
    <row r="1968">
      <c r="U1968">
        <f>IF(selection!H1965=1,selection!M1965,NA())</f>
        <v/>
      </c>
      <c r="V1968">
        <f>IF(selection!H1965=1,selection!N1965,NA())</f>
        <v/>
      </c>
      <c r="W1968">
        <f>IF(selection!H1965=0,selection!M1965,NA())</f>
        <v/>
      </c>
      <c r="X1968">
        <f>IF(selection!H1965=0,selection!N1965,NA())</f>
        <v/>
      </c>
    </row>
    <row r="1969">
      <c r="U1969">
        <f>IF(selection!H1966=1,selection!M1966,NA())</f>
        <v/>
      </c>
      <c r="V1969">
        <f>IF(selection!H1966=1,selection!N1966,NA())</f>
        <v/>
      </c>
      <c r="W1969">
        <f>IF(selection!H1966=0,selection!M1966,NA())</f>
        <v/>
      </c>
      <c r="X1969">
        <f>IF(selection!H1966=0,selection!N1966,NA())</f>
        <v/>
      </c>
    </row>
    <row r="1970">
      <c r="U1970">
        <f>IF(selection!H1967=1,selection!M1967,NA())</f>
        <v/>
      </c>
      <c r="V1970">
        <f>IF(selection!H1967=1,selection!N1967,NA())</f>
        <v/>
      </c>
      <c r="W1970">
        <f>IF(selection!H1967=0,selection!M1967,NA())</f>
        <v/>
      </c>
      <c r="X1970">
        <f>IF(selection!H1967=0,selection!N1967,NA())</f>
        <v/>
      </c>
    </row>
    <row r="1971">
      <c r="U1971">
        <f>IF(selection!H1968=1,selection!M1968,NA())</f>
        <v/>
      </c>
      <c r="V1971">
        <f>IF(selection!H1968=1,selection!N1968,NA())</f>
        <v/>
      </c>
      <c r="W1971">
        <f>IF(selection!H1968=0,selection!M1968,NA())</f>
        <v/>
      </c>
      <c r="X1971">
        <f>IF(selection!H1968=0,selection!N1968,NA())</f>
        <v/>
      </c>
    </row>
    <row r="1972">
      <c r="U1972">
        <f>IF(selection!H1969=1,selection!M1969,NA())</f>
        <v/>
      </c>
      <c r="V1972">
        <f>IF(selection!H1969=1,selection!N1969,NA())</f>
        <v/>
      </c>
      <c r="W1972">
        <f>IF(selection!H1969=0,selection!M1969,NA())</f>
        <v/>
      </c>
      <c r="X1972">
        <f>IF(selection!H1969=0,selection!N1969,NA())</f>
        <v/>
      </c>
    </row>
    <row r="1973">
      <c r="U1973">
        <f>IF(selection!H1970=1,selection!M1970,NA())</f>
        <v/>
      </c>
      <c r="V1973">
        <f>IF(selection!H1970=1,selection!N1970,NA())</f>
        <v/>
      </c>
      <c r="W1973">
        <f>IF(selection!H1970=0,selection!M1970,NA())</f>
        <v/>
      </c>
      <c r="X1973">
        <f>IF(selection!H1970=0,selection!N1970,NA())</f>
        <v/>
      </c>
    </row>
    <row r="1974">
      <c r="U1974">
        <f>IF(selection!H1971=1,selection!M1971,NA())</f>
        <v/>
      </c>
      <c r="V1974">
        <f>IF(selection!H1971=1,selection!N1971,NA())</f>
        <v/>
      </c>
      <c r="W1974">
        <f>IF(selection!H1971=0,selection!M1971,NA())</f>
        <v/>
      </c>
      <c r="X1974">
        <f>IF(selection!H1971=0,selection!N1971,NA())</f>
        <v/>
      </c>
    </row>
    <row r="1975">
      <c r="U1975">
        <f>IF(selection!H1972=1,selection!M1972,NA())</f>
        <v/>
      </c>
      <c r="V1975">
        <f>IF(selection!H1972=1,selection!N1972,NA())</f>
        <v/>
      </c>
      <c r="W1975">
        <f>IF(selection!H1972=0,selection!M1972,NA())</f>
        <v/>
      </c>
      <c r="X1975">
        <f>IF(selection!H1972=0,selection!N1972,NA())</f>
        <v/>
      </c>
    </row>
    <row r="1976">
      <c r="U1976">
        <f>IF(selection!H1973=1,selection!M1973,NA())</f>
        <v/>
      </c>
      <c r="V1976">
        <f>IF(selection!H1973=1,selection!N1973,NA())</f>
        <v/>
      </c>
      <c r="W1976">
        <f>IF(selection!H1973=0,selection!M1973,NA())</f>
        <v/>
      </c>
      <c r="X1976">
        <f>IF(selection!H1973=0,selection!N1973,NA())</f>
        <v/>
      </c>
    </row>
    <row r="1977">
      <c r="U1977">
        <f>IF(selection!H1974=1,selection!M1974,NA())</f>
        <v/>
      </c>
      <c r="V1977">
        <f>IF(selection!H1974=1,selection!N1974,NA())</f>
        <v/>
      </c>
      <c r="W1977">
        <f>IF(selection!H1974=0,selection!M1974,NA())</f>
        <v/>
      </c>
      <c r="X1977">
        <f>IF(selection!H1974=0,selection!N1974,NA())</f>
        <v/>
      </c>
    </row>
    <row r="1978">
      <c r="U1978">
        <f>IF(selection!H1975=1,selection!M1975,NA())</f>
        <v/>
      </c>
      <c r="V1978">
        <f>IF(selection!H1975=1,selection!N1975,NA())</f>
        <v/>
      </c>
      <c r="W1978">
        <f>IF(selection!H1975=0,selection!M1975,NA())</f>
        <v/>
      </c>
      <c r="X1978">
        <f>IF(selection!H1975=0,selection!N1975,NA())</f>
        <v/>
      </c>
    </row>
    <row r="1979">
      <c r="U1979">
        <f>IF(selection!H1976=1,selection!M1976,NA())</f>
        <v/>
      </c>
      <c r="V1979">
        <f>IF(selection!H1976=1,selection!N1976,NA())</f>
        <v/>
      </c>
      <c r="W1979">
        <f>IF(selection!H1976=0,selection!M1976,NA())</f>
        <v/>
      </c>
      <c r="X1979">
        <f>IF(selection!H1976=0,selection!N1976,NA())</f>
        <v/>
      </c>
    </row>
    <row r="1980">
      <c r="U1980">
        <f>IF(selection!H1977=1,selection!M1977,NA())</f>
        <v/>
      </c>
      <c r="V1980">
        <f>IF(selection!H1977=1,selection!N1977,NA())</f>
        <v/>
      </c>
      <c r="W1980">
        <f>IF(selection!H1977=0,selection!M1977,NA())</f>
        <v/>
      </c>
      <c r="X1980">
        <f>IF(selection!H1977=0,selection!N1977,NA())</f>
        <v/>
      </c>
    </row>
    <row r="1981">
      <c r="U1981">
        <f>IF(selection!H1978=1,selection!M1978,NA())</f>
        <v/>
      </c>
      <c r="V1981">
        <f>IF(selection!H1978=1,selection!N1978,NA())</f>
        <v/>
      </c>
      <c r="W1981">
        <f>IF(selection!H1978=0,selection!M1978,NA())</f>
        <v/>
      </c>
      <c r="X1981">
        <f>IF(selection!H1978=0,selection!N1978,NA())</f>
        <v/>
      </c>
    </row>
    <row r="1982">
      <c r="U1982">
        <f>IF(selection!H1979=1,selection!M1979,NA())</f>
        <v/>
      </c>
      <c r="V1982">
        <f>IF(selection!H1979=1,selection!N1979,NA())</f>
        <v/>
      </c>
      <c r="W1982">
        <f>IF(selection!H1979=0,selection!M1979,NA())</f>
        <v/>
      </c>
      <c r="X1982">
        <f>IF(selection!H1979=0,selection!N1979,NA())</f>
        <v/>
      </c>
    </row>
    <row r="1983">
      <c r="U1983">
        <f>IF(selection!H1980=1,selection!M1980,NA())</f>
        <v/>
      </c>
      <c r="V1983">
        <f>IF(selection!H1980=1,selection!N1980,NA())</f>
        <v/>
      </c>
      <c r="W1983">
        <f>IF(selection!H1980=0,selection!M1980,NA())</f>
        <v/>
      </c>
      <c r="X1983">
        <f>IF(selection!H1980=0,selection!N1980,NA())</f>
        <v/>
      </c>
    </row>
    <row r="1984">
      <c r="U1984">
        <f>IF(selection!H1981=1,selection!M1981,NA())</f>
        <v/>
      </c>
      <c r="V1984">
        <f>IF(selection!H1981=1,selection!N1981,NA())</f>
        <v/>
      </c>
      <c r="W1984">
        <f>IF(selection!H1981=0,selection!M1981,NA())</f>
        <v/>
      </c>
      <c r="X1984">
        <f>IF(selection!H1981=0,selection!N1981,NA())</f>
        <v/>
      </c>
    </row>
    <row r="1985">
      <c r="U1985">
        <f>IF(selection!H1982=1,selection!M1982,NA())</f>
        <v/>
      </c>
      <c r="V1985">
        <f>IF(selection!H1982=1,selection!N1982,NA())</f>
        <v/>
      </c>
      <c r="W1985">
        <f>IF(selection!H1982=0,selection!M1982,NA())</f>
        <v/>
      </c>
      <c r="X1985">
        <f>IF(selection!H1982=0,selection!N1982,NA())</f>
        <v/>
      </c>
    </row>
    <row r="1986">
      <c r="U1986">
        <f>IF(selection!H1983=1,selection!M1983,NA())</f>
        <v/>
      </c>
      <c r="V1986">
        <f>IF(selection!H1983=1,selection!N1983,NA())</f>
        <v/>
      </c>
      <c r="W1986">
        <f>IF(selection!H1983=0,selection!M1983,NA())</f>
        <v/>
      </c>
      <c r="X1986">
        <f>IF(selection!H1983=0,selection!N1983,NA())</f>
        <v/>
      </c>
    </row>
    <row r="1987">
      <c r="U1987">
        <f>IF(selection!H1984=1,selection!M1984,NA())</f>
        <v/>
      </c>
      <c r="V1987">
        <f>IF(selection!H1984=1,selection!N1984,NA())</f>
        <v/>
      </c>
      <c r="W1987">
        <f>IF(selection!H1984=0,selection!M1984,NA())</f>
        <v/>
      </c>
      <c r="X1987">
        <f>IF(selection!H1984=0,selection!N1984,NA())</f>
        <v/>
      </c>
    </row>
    <row r="1988">
      <c r="U1988">
        <f>IF(selection!H1985=1,selection!M1985,NA())</f>
        <v/>
      </c>
      <c r="V1988">
        <f>IF(selection!H1985=1,selection!N1985,NA())</f>
        <v/>
      </c>
      <c r="W1988">
        <f>IF(selection!H1985=0,selection!M1985,NA())</f>
        <v/>
      </c>
      <c r="X1988">
        <f>IF(selection!H1985=0,selection!N1985,NA())</f>
        <v/>
      </c>
    </row>
    <row r="1989">
      <c r="U1989">
        <f>IF(selection!H1986=1,selection!M1986,NA())</f>
        <v/>
      </c>
      <c r="V1989">
        <f>IF(selection!H1986=1,selection!N1986,NA())</f>
        <v/>
      </c>
      <c r="W1989">
        <f>IF(selection!H1986=0,selection!M1986,NA())</f>
        <v/>
      </c>
      <c r="X1989">
        <f>IF(selection!H1986=0,selection!N1986,NA())</f>
        <v/>
      </c>
    </row>
    <row r="1990">
      <c r="U1990">
        <f>IF(selection!H1987=1,selection!M1987,NA())</f>
        <v/>
      </c>
      <c r="V1990">
        <f>IF(selection!H1987=1,selection!N1987,NA())</f>
        <v/>
      </c>
      <c r="W1990">
        <f>IF(selection!H1987=0,selection!M1987,NA())</f>
        <v/>
      </c>
      <c r="X1990">
        <f>IF(selection!H1987=0,selection!N1987,NA())</f>
        <v/>
      </c>
    </row>
    <row r="1991">
      <c r="U1991">
        <f>IF(selection!H1988=1,selection!M1988,NA())</f>
        <v/>
      </c>
      <c r="V1991">
        <f>IF(selection!H1988=1,selection!N1988,NA())</f>
        <v/>
      </c>
      <c r="W1991">
        <f>IF(selection!H1988=0,selection!M1988,NA())</f>
        <v/>
      </c>
      <c r="X1991">
        <f>IF(selection!H1988=0,selection!N1988,NA())</f>
        <v/>
      </c>
    </row>
    <row r="1992">
      <c r="U1992">
        <f>IF(selection!H1989=1,selection!M1989,NA())</f>
        <v/>
      </c>
      <c r="V1992">
        <f>IF(selection!H1989=1,selection!N1989,NA())</f>
        <v/>
      </c>
      <c r="W1992">
        <f>IF(selection!H1989=0,selection!M1989,NA())</f>
        <v/>
      </c>
      <c r="X1992">
        <f>IF(selection!H1989=0,selection!N1989,NA())</f>
        <v/>
      </c>
    </row>
    <row r="1993">
      <c r="U1993">
        <f>IF(selection!H1990=1,selection!M1990,NA())</f>
        <v/>
      </c>
      <c r="V1993">
        <f>IF(selection!H1990=1,selection!N1990,NA())</f>
        <v/>
      </c>
      <c r="W1993">
        <f>IF(selection!H1990=0,selection!M1990,NA())</f>
        <v/>
      </c>
      <c r="X1993">
        <f>IF(selection!H1990=0,selection!N1990,NA())</f>
        <v/>
      </c>
    </row>
    <row r="1994">
      <c r="U1994">
        <f>IF(selection!H1991=1,selection!M1991,NA())</f>
        <v/>
      </c>
      <c r="V1994">
        <f>IF(selection!H1991=1,selection!N1991,NA())</f>
        <v/>
      </c>
      <c r="W1994">
        <f>IF(selection!H1991=0,selection!M1991,NA())</f>
        <v/>
      </c>
      <c r="X1994">
        <f>IF(selection!H1991=0,selection!N1991,NA())</f>
        <v/>
      </c>
    </row>
    <row r="1995">
      <c r="U1995">
        <f>IF(selection!H1992=1,selection!M1992,NA())</f>
        <v/>
      </c>
      <c r="V1995">
        <f>IF(selection!H1992=1,selection!N1992,NA())</f>
        <v/>
      </c>
      <c r="W1995">
        <f>IF(selection!H1992=0,selection!M1992,NA())</f>
        <v/>
      </c>
      <c r="X1995">
        <f>IF(selection!H1992=0,selection!N1992,NA())</f>
        <v/>
      </c>
    </row>
    <row r="1996">
      <c r="U1996">
        <f>IF(selection!H1993=1,selection!M1993,NA())</f>
        <v/>
      </c>
      <c r="V1996">
        <f>IF(selection!H1993=1,selection!N1993,NA())</f>
        <v/>
      </c>
      <c r="W1996">
        <f>IF(selection!H1993=0,selection!M1993,NA())</f>
        <v/>
      </c>
      <c r="X1996">
        <f>IF(selection!H1993=0,selection!N1993,NA())</f>
        <v/>
      </c>
    </row>
    <row r="1997">
      <c r="U1997">
        <f>IF(selection!H1994=1,selection!M1994,NA())</f>
        <v/>
      </c>
      <c r="V1997">
        <f>IF(selection!H1994=1,selection!N1994,NA())</f>
        <v/>
      </c>
      <c r="W1997">
        <f>IF(selection!H1994=0,selection!M1994,NA())</f>
        <v/>
      </c>
      <c r="X1997">
        <f>IF(selection!H1994=0,selection!N1994,NA())</f>
        <v/>
      </c>
    </row>
    <row r="1998">
      <c r="U1998">
        <f>IF(selection!H1995=1,selection!M1995,NA())</f>
        <v/>
      </c>
      <c r="V1998">
        <f>IF(selection!H1995=1,selection!N1995,NA())</f>
        <v/>
      </c>
      <c r="W1998">
        <f>IF(selection!H1995=0,selection!M1995,NA())</f>
        <v/>
      </c>
      <c r="X1998">
        <f>IF(selection!H1995=0,selection!N1995,NA())</f>
        <v/>
      </c>
    </row>
    <row r="1999">
      <c r="U1999">
        <f>IF(selection!H1996=1,selection!M1996,NA())</f>
        <v/>
      </c>
      <c r="V1999">
        <f>IF(selection!H1996=1,selection!N1996,NA())</f>
        <v/>
      </c>
      <c r="W1999">
        <f>IF(selection!H1996=0,selection!M1996,NA())</f>
        <v/>
      </c>
      <c r="X1999">
        <f>IF(selection!H1996=0,selection!N1996,NA())</f>
        <v/>
      </c>
    </row>
    <row r="2000">
      <c r="U2000">
        <f>IF(selection!H1997=1,selection!M1997,NA())</f>
        <v/>
      </c>
      <c r="V2000">
        <f>IF(selection!H1997=1,selection!N1997,NA())</f>
        <v/>
      </c>
      <c r="W2000">
        <f>IF(selection!H1997=0,selection!M1997,NA())</f>
        <v/>
      </c>
      <c r="X2000">
        <f>IF(selection!H1997=0,selection!N1997,NA())</f>
        <v/>
      </c>
    </row>
    <row r="2001">
      <c r="U2001">
        <f>IF(selection!H1998=1,selection!M1998,NA())</f>
        <v/>
      </c>
      <c r="V2001">
        <f>IF(selection!H1998=1,selection!N1998,NA())</f>
        <v/>
      </c>
      <c r="W2001">
        <f>IF(selection!H1998=0,selection!M1998,NA())</f>
        <v/>
      </c>
      <c r="X2001">
        <f>IF(selection!H1998=0,selection!N1998,NA())</f>
        <v/>
      </c>
    </row>
    <row r="2002">
      <c r="U2002">
        <f>IF(selection!H1999=1,selection!M1999,NA())</f>
        <v/>
      </c>
      <c r="V2002">
        <f>IF(selection!H1999=1,selection!N1999,NA())</f>
        <v/>
      </c>
      <c r="W2002">
        <f>IF(selection!H1999=0,selection!M1999,NA())</f>
        <v/>
      </c>
      <c r="X2002">
        <f>IF(selection!H1999=0,selection!N1999,NA())</f>
        <v/>
      </c>
    </row>
    <row r="2003">
      <c r="U2003">
        <f>IF(selection!H2000=1,selection!M2000,NA())</f>
        <v/>
      </c>
      <c r="V2003">
        <f>IF(selection!H2000=1,selection!N2000,NA())</f>
        <v/>
      </c>
      <c r="W2003">
        <f>IF(selection!H2000=0,selection!M2000,NA())</f>
        <v/>
      </c>
      <c r="X2003">
        <f>IF(selection!H2000=0,selection!N2000,NA())</f>
        <v/>
      </c>
    </row>
    <row r="2004">
      <c r="U2004">
        <f>IF(selection!H2001=1,selection!M2001,NA())</f>
        <v/>
      </c>
      <c r="V2004">
        <f>IF(selection!H2001=1,selection!N2001,NA())</f>
        <v/>
      </c>
      <c r="W2004">
        <f>IF(selection!H2001=0,selection!M2001,NA())</f>
        <v/>
      </c>
      <c r="X2004">
        <f>IF(selection!H2001=0,selection!N2001,NA())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Frame: what Stata exported for this run</t>
        </is>
      </c>
    </row>
    <row r="2">
      <c r="A2" s="2" t="inlineStr">
        <is>
          <t>List-frame checks or the grid frame as computed in Stata; nothing is recalculated here (see Notes).</t>
        </is>
      </c>
    </row>
    <row r="4">
      <c r="A4" s="3" t="inlineStr">
        <is>
          <t>Run</t>
        </is>
      </c>
      <c r="U4" s="3" t="inlineStr">
        <is>
          <t>units: x</t>
        </is>
      </c>
      <c r="V4" s="3" t="inlineStr">
        <is>
          <t>units: y</t>
        </is>
      </c>
    </row>
    <row r="5">
      <c r="A5" t="inlineStr">
        <is>
          <t>Run id</t>
        </is>
      </c>
      <c r="B5" s="4">
        <f>IFERROR(INDEX(manifest!$B:$B,MATCH("run_id",manifest!$A:$A,0)),"not in this export")</f>
        <v/>
      </c>
      <c r="U5">
        <f>IF(frame_units!E2&lt;&gt;"",frame_units!E2,NA())</f>
        <v/>
      </c>
      <c r="V5">
        <f>IF(frame_units!E2&lt;&gt;"",frame_units!F2,NA())</f>
        <v/>
      </c>
    </row>
    <row r="6">
      <c r="A6" t="inlineStr">
        <is>
          <t>Step</t>
        </is>
      </c>
      <c r="B6" s="4">
        <f>IFERROR(INDEX(manifest!$B:$B,MATCH("step",manifest!$A:$A,0)),"not in this export")</f>
        <v/>
      </c>
      <c r="U6">
        <f>IF(frame_units!E3&lt;&gt;"",frame_units!E3,NA())</f>
        <v/>
      </c>
      <c r="V6">
        <f>IF(frame_units!E3&lt;&gt;"",frame_units!F3,NA())</f>
        <v/>
      </c>
    </row>
    <row r="7">
      <c r="A7" t="inlineStr">
        <is>
          <t>Started</t>
        </is>
      </c>
      <c r="B7" s="4">
        <f>IFERROR(INDEX(manifest!$B:$B,MATCH("started",manifest!$A:$A,0)),"not in this export")</f>
        <v/>
      </c>
      <c r="U7">
        <f>IF(frame_units!E4&lt;&gt;"",frame_units!E4,NA())</f>
        <v/>
      </c>
      <c r="V7">
        <f>IF(frame_units!E4&lt;&gt;"",frame_units!F4,NA())</f>
        <v/>
      </c>
    </row>
    <row r="8">
      <c r="A8" t="inlineStr">
        <is>
          <t>Status</t>
        </is>
      </c>
      <c r="B8" s="4">
        <f>IFERROR(INDEX(manifest!$B:$B,MATCH("status",manifest!$A:$A,0)),"not in this export")</f>
        <v/>
      </c>
      <c r="U8">
        <f>IF(frame_units!E5&lt;&gt;"",frame_units!E5,NA())</f>
        <v/>
      </c>
      <c r="V8">
        <f>IF(frame_units!E5&lt;&gt;"",frame_units!F5,NA())</f>
        <v/>
      </c>
    </row>
    <row r="9">
      <c r="A9" t="inlineStr">
        <is>
          <t>Source (ado or do-file)</t>
        </is>
      </c>
      <c r="B9" s="4">
        <f>IFERROR(INDEX(manifest!$B:$B,MATCH("source",manifest!$A:$A,0)),"not in this export")</f>
        <v/>
      </c>
      <c r="U9">
        <f>IF(frame_units!E6&lt;&gt;"",frame_units!E6,NA())</f>
        <v/>
      </c>
      <c r="V9">
        <f>IF(frame_units!E6&lt;&gt;"",frame_units!F6,NA())</f>
        <v/>
      </c>
    </row>
    <row r="10">
      <c r="A10" t="inlineStr">
        <is>
          <t>Input file</t>
        </is>
      </c>
      <c r="B10" s="4">
        <f>IFERROR(INDEX(manifest!$B:$B,MATCH("input_file",manifest!$A:$A,0)),"not in this export")</f>
        <v/>
      </c>
      <c r="U10">
        <f>IF(frame_units!E7&lt;&gt;"",frame_units!E7,NA())</f>
        <v/>
      </c>
      <c r="V10">
        <f>IF(frame_units!E7&lt;&gt;"",frame_units!F7,NA())</f>
        <v/>
      </c>
    </row>
    <row r="11">
      <c r="A11" t="inlineStr">
        <is>
          <t>Input rows</t>
        </is>
      </c>
      <c r="B11" s="4">
        <f>IFERROR(INDEX(manifest!$B:$B,MATCH("input_rows",manifest!$A:$A,0)),"not in this export")</f>
        <v/>
      </c>
      <c r="U11">
        <f>IF(frame_units!E8&lt;&gt;"",frame_units!E8,NA())</f>
        <v/>
      </c>
      <c r="V11">
        <f>IF(frame_units!E8&lt;&gt;"",frame_units!F8,NA())</f>
        <v/>
      </c>
    </row>
    <row r="12">
      <c r="A12" t="inlineStr">
        <is>
          <t>Command</t>
        </is>
      </c>
      <c r="B12" s="4">
        <f>IFERROR(INDEX(manifest!$B:$B,MATCH("command",manifest!$A:$A,0)),"not in this export")</f>
        <v/>
      </c>
      <c r="U12">
        <f>IF(frame_units!E9&lt;&gt;"",frame_units!E9,NA())</f>
        <v/>
      </c>
      <c r="V12">
        <f>IF(frame_units!E9&lt;&gt;"",frame_units!F9,NA())</f>
        <v/>
      </c>
    </row>
    <row r="13">
      <c r="U13">
        <f>IF(frame_units!E10&lt;&gt;"",frame_units!E10,NA())</f>
        <v/>
      </c>
      <c r="V13">
        <f>IF(frame_units!E10&lt;&gt;"",frame_units!F10,NA())</f>
        <v/>
      </c>
    </row>
    <row r="14">
      <c r="A14" s="3" t="inlineStr">
        <is>
          <t>Key numbers (r() results of the command)</t>
        </is>
      </c>
      <c r="U14">
        <f>IF(frame_units!E11&lt;&gt;"",frame_units!E11,NA())</f>
        <v/>
      </c>
      <c r="V14">
        <f>IF(frame_units!E11&lt;&gt;"",frame_units!F11,NA())</f>
        <v/>
      </c>
    </row>
    <row r="15">
      <c r="A15" t="inlineStr">
        <is>
          <t>Units</t>
        </is>
      </c>
      <c r="B15" s="5">
        <f>IFERROR(INDEX(manifest!$B:$B,MATCH("summary_N",manifest!$A:$A,0)),"not in this export")</f>
        <v/>
      </c>
      <c r="U15">
        <f>IF(frame_units!E12&lt;&gt;"",frame_units!E12,NA())</f>
        <v/>
      </c>
      <c r="V15">
        <f>IF(frame_units!E12&lt;&gt;"",frame_units!F12,NA())</f>
        <v/>
      </c>
    </row>
    <row r="16">
      <c r="A16" t="inlineStr">
        <is>
          <t>Usable units</t>
        </is>
      </c>
      <c r="B16" s="5">
        <f>IFERROR(INDEX(manifest!$B:$B,MATCH("summary_N_ok",manifest!$A:$A,0)),"not in this export")</f>
        <v/>
      </c>
      <c r="U16">
        <f>IF(frame_units!E13&lt;&gt;"",frame_units!E13,NA())</f>
        <v/>
      </c>
      <c r="V16">
        <f>IF(frame_units!E13&lt;&gt;"",frame_units!F13,NA())</f>
        <v/>
      </c>
    </row>
    <row r="17">
      <c r="A17" t="inlineStr">
        <is>
          <t>Duplicate identifiers</t>
        </is>
      </c>
      <c r="B17" s="5">
        <f>IFERROR(INDEX(manifest!$B:$B,MATCH("summary_n_dup",manifest!$A:$A,0)),"not in this export")</f>
        <v/>
      </c>
      <c r="U17">
        <f>IF(frame_units!E14&lt;&gt;"",frame_units!E14,NA())</f>
        <v/>
      </c>
      <c r="V17">
        <f>IF(frame_units!E14&lt;&gt;"",frame_units!F14,NA())</f>
        <v/>
      </c>
    </row>
    <row r="18">
      <c r="A18" t="inlineStr">
        <is>
          <t>Bad sizes</t>
        </is>
      </c>
      <c r="B18" s="5">
        <f>IFERROR(INDEX(manifest!$B:$B,MATCH("summary_n_badsize",manifest!$A:$A,0)),"not in this export")</f>
        <v/>
      </c>
      <c r="U18">
        <f>IF(frame_units!E15&lt;&gt;"",frame_units!E15,NA())</f>
        <v/>
      </c>
      <c r="V18">
        <f>IF(frame_units!E15&lt;&gt;"",frame_units!F15,NA())</f>
        <v/>
      </c>
    </row>
    <row r="19">
      <c r="A19" t="inlineStr">
        <is>
          <t>Small units or cells</t>
        </is>
      </c>
      <c r="B19" s="5">
        <f>IFERROR(INDEX(manifest!$B:$B,MATCH("summary_n_small",manifest!$A:$A,0)),"not in this export")</f>
        <v/>
      </c>
      <c r="U19">
        <f>IF(frame_units!E16&lt;&gt;"",frame_units!E16,NA())</f>
        <v/>
      </c>
      <c r="V19">
        <f>IF(frame_units!E16&lt;&gt;"",frame_units!F16,NA())</f>
        <v/>
      </c>
    </row>
    <row r="20">
      <c r="A20" t="inlineStr">
        <is>
          <t>Large units</t>
        </is>
      </c>
      <c r="B20" s="5">
        <f>IFERROR(INDEX(manifest!$B:$B,MATCH("summary_n_large",manifest!$A:$A,0)),"not in this export")</f>
        <v/>
      </c>
      <c r="U20">
        <f>IF(frame_units!E17&lt;&gt;"",frame_units!E17,NA())</f>
        <v/>
      </c>
      <c r="V20">
        <f>IF(frame_units!E17&lt;&gt;"",frame_units!F17,NA())</f>
        <v/>
      </c>
    </row>
    <row r="21">
      <c r="A21" t="inlineStr">
        <is>
          <t>Excluded</t>
        </is>
      </c>
      <c r="B21" s="5">
        <f>IFERROR(INDEX(manifest!$B:$B,MATCH("summary_n_excluded",manifest!$A:$A,0)),"not in this export")</f>
        <v/>
      </c>
      <c r="U21">
        <f>IF(frame_units!E18&lt;&gt;"",frame_units!E18,NA())</f>
        <v/>
      </c>
      <c r="V21">
        <f>IF(frame_units!E18&lt;&gt;"",frame_units!F18,NA())</f>
        <v/>
      </c>
    </row>
    <row r="22">
      <c r="A22" t="inlineStr">
        <is>
          <t>Strata</t>
        </is>
      </c>
      <c r="B22" s="5">
        <f>IFERROR(INDEX(manifest!$B:$B,MATCH("summary_H",manifest!$A:$A,0)),"not in this export")</f>
        <v/>
      </c>
      <c r="U22">
        <f>IF(frame_units!E19&lt;&gt;"",frame_units!E19,NA())</f>
        <v/>
      </c>
      <c r="V22">
        <f>IF(frame_units!E19&lt;&gt;"",frame_units!F19,NA())</f>
        <v/>
      </c>
    </row>
    <row r="23">
      <c r="A23" t="inlineStr">
        <is>
          <t>Grid cells</t>
        </is>
      </c>
      <c r="B23" s="5">
        <f>IFERROR(INDEX(manifest!$B:$B,MATCH("summary_N_cells",manifest!$A:$A,0)),"not in this export")</f>
        <v/>
      </c>
      <c r="U23">
        <f>IF(frame_units!E20&lt;&gt;"",frame_units!E20,NA())</f>
        <v/>
      </c>
      <c r="V23">
        <f>IF(frame_units!E20&lt;&gt;"",frame_units!F20,NA())</f>
        <v/>
      </c>
    </row>
    <row r="24">
      <c r="A24" t="inlineStr">
        <is>
          <t>Boundary polygons</t>
        </is>
      </c>
      <c r="B24" s="5">
        <f>IFERROR(INDEX(manifest!$B:$B,MATCH("summary_n_polygons",manifest!$A:$A,0)),"not in this export")</f>
        <v/>
      </c>
      <c r="U24">
        <f>IF(frame_units!E21&lt;&gt;"",frame_units!E21,NA())</f>
        <v/>
      </c>
      <c r="V24">
        <f>IF(frame_units!E21&lt;&gt;"",frame_units!F21,NA())</f>
        <v/>
      </c>
    </row>
    <row r="25">
      <c r="A25" t="inlineStr">
        <is>
          <t>Cells straddling a boundary</t>
        </is>
      </c>
      <c r="B25" s="5">
        <f>IFERROR(INDEX(manifest!$B:$B,MATCH("summary_n_straddle",manifest!$A:$A,0)),"not in this export")</f>
        <v/>
      </c>
      <c r="U25">
        <f>IF(frame_units!E22&lt;&gt;"",frame_units!E22,NA())</f>
        <v/>
      </c>
      <c r="V25">
        <f>IF(frame_units!E22&lt;&gt;"",frame_units!F22,NA())</f>
        <v/>
      </c>
    </row>
    <row r="26">
      <c r="A26" t="inlineStr">
        <is>
          <t>Population inside the boundaries</t>
        </is>
      </c>
      <c r="B26" s="5">
        <f>IFERROR(INDEX(manifest!$B:$B,MATCH("summary_pop_inside",manifest!$A:$A,0)),"not in this export")</f>
        <v/>
      </c>
      <c r="U26">
        <f>IF(frame_units!E23&lt;&gt;"",frame_units!E23,NA())</f>
        <v/>
      </c>
      <c r="V26">
        <f>IF(frame_units!E23&lt;&gt;"",frame_units!F23,NA())</f>
        <v/>
      </c>
    </row>
    <row r="27">
      <c r="A27" t="inlineStr">
        <is>
          <t>Population outside</t>
        </is>
      </c>
      <c r="B27" s="5">
        <f>IFERROR(INDEX(manifest!$B:$B,MATCH("summary_pop_outside",manifest!$A:$A,0)),"not in this export")</f>
        <v/>
      </c>
      <c r="U27">
        <f>IF(frame_units!E24&lt;&gt;"",frame_units!E24,NA())</f>
        <v/>
      </c>
      <c r="V27">
        <f>IF(frame_units!E24&lt;&gt;"",frame_units!F24,NA())</f>
        <v/>
      </c>
    </row>
    <row r="28">
      <c r="A28" t="inlineStr">
        <is>
          <t>Pixels outside</t>
        </is>
      </c>
      <c r="B28" s="5">
        <f>IFERROR(INDEX(manifest!$B:$B,MATCH("summary_pixels_outside",manifest!$A:$A,0)),"not in this export")</f>
        <v/>
      </c>
      <c r="U28">
        <f>IF(frame_units!E25&lt;&gt;"",frame_units!E25,NA())</f>
        <v/>
      </c>
      <c r="V28">
        <f>IF(frame_units!E25&lt;&gt;"",frame_units!F25,NA())</f>
        <v/>
      </c>
    </row>
    <row r="29">
      <c r="A29" t="inlineStr">
        <is>
          <t>Cell size (m)</t>
        </is>
      </c>
      <c r="B29" s="5">
        <f>IFERROR(INDEX(manifest!$B:$B,MATCH("summary_cellsize",manifest!$A:$A,0)),"not in this export")</f>
        <v/>
      </c>
      <c r="U29">
        <f>IF(frame_units!E26&lt;&gt;"",frame_units!E26,NA())</f>
        <v/>
      </c>
      <c r="V29">
        <f>IF(frame_units!E26&lt;&gt;"",frame_units!F26,NA())</f>
        <v/>
      </c>
    </row>
    <row r="30">
      <c r="A30" t="inlineStr">
        <is>
          <t>Pixel size (m)</t>
        </is>
      </c>
      <c r="B30" s="5">
        <f>IFERROR(INDEX(manifest!$B:$B,MATCH("summary_pixelsize",manifest!$A:$A,0)),"not in this export")</f>
        <v/>
      </c>
      <c r="U30">
        <f>IF(frame_units!E27&lt;&gt;"",frame_units!E27,NA())</f>
        <v/>
      </c>
      <c r="V30">
        <f>IF(frame_units!E27&lt;&gt;"",frame_units!F27,NA())</f>
        <v/>
      </c>
    </row>
    <row r="31">
      <c r="A31" t="inlineStr">
        <is>
          <t>Cells with replacement candidates</t>
        </is>
      </c>
      <c r="B31" s="5">
        <f>IFERROR(INDEX(manifest!$B:$B,MATCH("summary_n_with_candidates",manifest!$A:$A,0)),"not in this export")</f>
        <v/>
      </c>
      <c r="U31">
        <f>IF(frame_units!E28&lt;&gt;"",frame_units!E28,NA())</f>
        <v/>
      </c>
      <c r="V31">
        <f>IF(frame_units!E28&lt;&gt;"",frame_units!F28,NA())</f>
        <v/>
      </c>
    </row>
    <row r="32">
      <c r="A32" t="inlineStr">
        <is>
          <t>Parts after a split</t>
        </is>
      </c>
      <c r="B32" s="5">
        <f>IFERROR(INDEX(manifest!$B:$B,MATCH("summary_n_parts",manifest!$A:$A,0)),"not in this export")</f>
        <v/>
      </c>
      <c r="U32">
        <f>IF(frame_units!E29&lt;&gt;"",frame_units!E29,NA())</f>
        <v/>
      </c>
      <c r="V32">
        <f>IF(frame_units!E29&lt;&gt;"",frame_units!F29,NA())</f>
        <v/>
      </c>
    </row>
    <row r="33">
      <c r="U33">
        <f>IF(frame_units!E30&lt;&gt;"",frame_units!E30,NA())</f>
        <v/>
      </c>
      <c r="V33">
        <f>IF(frame_units!E30&lt;&gt;"",frame_units!F30,NA())</f>
        <v/>
      </c>
    </row>
    <row r="34">
      <c r="A34" s="3" t="inlineStr">
        <is>
          <t>Summary by stratum (frame_summary.csv)</t>
        </is>
      </c>
      <c r="U34">
        <f>IF(frame_units!E31&lt;&gt;"",frame_units!E31,NA())</f>
        <v/>
      </c>
      <c r="V34">
        <f>IF(frame_units!E31&lt;&gt;"",frame_units!F31,NA())</f>
        <v/>
      </c>
    </row>
    <row r="35">
      <c r="A35" s="6" t="inlineStr">
        <is>
          <t>stratum</t>
        </is>
      </c>
      <c r="B35" s="6" t="inlineStr">
        <is>
          <t>n_units</t>
        </is>
      </c>
      <c r="C35" s="6" t="inlineStr">
        <is>
          <t>size_sum</t>
        </is>
      </c>
      <c r="D35" s="6" t="inlineStr">
        <is>
          <t>size_min</t>
        </is>
      </c>
      <c r="E35" s="6" t="inlineStr">
        <is>
          <t>size_p50</t>
        </is>
      </c>
      <c r="F35" s="6" t="inlineStr">
        <is>
          <t>size_max</t>
        </is>
      </c>
      <c r="G35" s="6" t="inlineStr">
        <is>
          <t>n_flagged</t>
        </is>
      </c>
      <c r="U35">
        <f>IF(frame_units!E32&lt;&gt;"",frame_units!E32,NA())</f>
        <v/>
      </c>
      <c r="V35">
        <f>IF(frame_units!E32&lt;&gt;"",frame_units!F32,NA())</f>
        <v/>
      </c>
    </row>
    <row r="36">
      <c r="A36">
        <f>IF(frame_summary!A2="","",frame_summary!A2)</f>
        <v/>
      </c>
      <c r="B36" s="7">
        <f>IF(frame_summary!B2="","",frame_summary!B2)</f>
        <v/>
      </c>
      <c r="C36" s="7">
        <f>IF(frame_summary!C2="","",frame_summary!C2)</f>
        <v/>
      </c>
      <c r="D36" s="7">
        <f>IF(frame_summary!D2="","",frame_summary!D2)</f>
        <v/>
      </c>
      <c r="E36" s="7">
        <f>IF(frame_summary!E2="","",frame_summary!E2)</f>
        <v/>
      </c>
      <c r="F36" s="7">
        <f>IF(frame_summary!F2="","",frame_summary!F2)</f>
        <v/>
      </c>
      <c r="G36" s="7">
        <f>IF(frame_summary!G2="","",frame_summary!G2)</f>
        <v/>
      </c>
      <c r="U36">
        <f>IF(frame_units!E33&lt;&gt;"",frame_units!E33,NA())</f>
        <v/>
      </c>
      <c r="V36">
        <f>IF(frame_units!E33&lt;&gt;"",frame_units!F33,NA())</f>
        <v/>
      </c>
    </row>
    <row r="37">
      <c r="A37">
        <f>IF(frame_summary!A3="","",frame_summary!A3)</f>
        <v/>
      </c>
      <c r="B37" s="7">
        <f>IF(frame_summary!B3="","",frame_summary!B3)</f>
        <v/>
      </c>
      <c r="C37" s="7">
        <f>IF(frame_summary!C3="","",frame_summary!C3)</f>
        <v/>
      </c>
      <c r="D37" s="7">
        <f>IF(frame_summary!D3="","",frame_summary!D3)</f>
        <v/>
      </c>
      <c r="E37" s="7">
        <f>IF(frame_summary!E3="","",frame_summary!E3)</f>
        <v/>
      </c>
      <c r="F37" s="7">
        <f>IF(frame_summary!F3="","",frame_summary!F3)</f>
        <v/>
      </c>
      <c r="G37" s="7">
        <f>IF(frame_summary!G3="","",frame_summary!G3)</f>
        <v/>
      </c>
      <c r="U37">
        <f>IF(frame_units!E34&lt;&gt;"",frame_units!E34,NA())</f>
        <v/>
      </c>
      <c r="V37">
        <f>IF(frame_units!E34&lt;&gt;"",frame_units!F34,NA())</f>
        <v/>
      </c>
    </row>
    <row r="38">
      <c r="A38">
        <f>IF(frame_summary!A4="","",frame_summary!A4)</f>
        <v/>
      </c>
      <c r="B38" s="7">
        <f>IF(frame_summary!B4="","",frame_summary!B4)</f>
        <v/>
      </c>
      <c r="C38" s="7">
        <f>IF(frame_summary!C4="","",frame_summary!C4)</f>
        <v/>
      </c>
      <c r="D38" s="7">
        <f>IF(frame_summary!D4="","",frame_summary!D4)</f>
        <v/>
      </c>
      <c r="E38" s="7">
        <f>IF(frame_summary!E4="","",frame_summary!E4)</f>
        <v/>
      </c>
      <c r="F38" s="7">
        <f>IF(frame_summary!F4="","",frame_summary!F4)</f>
        <v/>
      </c>
      <c r="G38" s="7">
        <f>IF(frame_summary!G4="","",frame_summary!G4)</f>
        <v/>
      </c>
      <c r="U38">
        <f>IF(frame_units!E35&lt;&gt;"",frame_units!E35,NA())</f>
        <v/>
      </c>
      <c r="V38">
        <f>IF(frame_units!E35&lt;&gt;"",frame_units!F35,NA())</f>
        <v/>
      </c>
    </row>
    <row r="39">
      <c r="A39">
        <f>IF(frame_summary!A5="","",frame_summary!A5)</f>
        <v/>
      </c>
      <c r="B39" s="7">
        <f>IF(frame_summary!B5="","",frame_summary!B5)</f>
        <v/>
      </c>
      <c r="C39" s="7">
        <f>IF(frame_summary!C5="","",frame_summary!C5)</f>
        <v/>
      </c>
      <c r="D39" s="7">
        <f>IF(frame_summary!D5="","",frame_summary!D5)</f>
        <v/>
      </c>
      <c r="E39" s="7">
        <f>IF(frame_summary!E5="","",frame_summary!E5)</f>
        <v/>
      </c>
      <c r="F39" s="7">
        <f>IF(frame_summary!F5="","",frame_summary!F5)</f>
        <v/>
      </c>
      <c r="G39" s="7">
        <f>IF(frame_summary!G5="","",frame_summary!G5)</f>
        <v/>
      </c>
      <c r="U39">
        <f>IF(frame_units!E36&lt;&gt;"",frame_units!E36,NA())</f>
        <v/>
      </c>
      <c r="V39">
        <f>IF(frame_units!E36&lt;&gt;"",frame_units!F36,NA())</f>
        <v/>
      </c>
    </row>
    <row r="40">
      <c r="A40">
        <f>IF(frame_summary!A6="","",frame_summary!A6)</f>
        <v/>
      </c>
      <c r="B40" s="7">
        <f>IF(frame_summary!B6="","",frame_summary!B6)</f>
        <v/>
      </c>
      <c r="C40" s="7">
        <f>IF(frame_summary!C6="","",frame_summary!C6)</f>
        <v/>
      </c>
      <c r="D40" s="7">
        <f>IF(frame_summary!D6="","",frame_summary!D6)</f>
        <v/>
      </c>
      <c r="E40" s="7">
        <f>IF(frame_summary!E6="","",frame_summary!E6)</f>
        <v/>
      </c>
      <c r="F40" s="7">
        <f>IF(frame_summary!F6="","",frame_summary!F6)</f>
        <v/>
      </c>
      <c r="G40" s="7">
        <f>IF(frame_summary!G6="","",frame_summary!G6)</f>
        <v/>
      </c>
      <c r="U40">
        <f>IF(frame_units!E37&lt;&gt;"",frame_units!E37,NA())</f>
        <v/>
      </c>
      <c r="V40">
        <f>IF(frame_units!E37&lt;&gt;"",frame_units!F37,NA())</f>
        <v/>
      </c>
    </row>
    <row r="41">
      <c r="A41">
        <f>IF(frame_summary!A7="","",frame_summary!A7)</f>
        <v/>
      </c>
      <c r="B41" s="7">
        <f>IF(frame_summary!B7="","",frame_summary!B7)</f>
        <v/>
      </c>
      <c r="C41" s="7">
        <f>IF(frame_summary!C7="","",frame_summary!C7)</f>
        <v/>
      </c>
      <c r="D41" s="7">
        <f>IF(frame_summary!D7="","",frame_summary!D7)</f>
        <v/>
      </c>
      <c r="E41" s="7">
        <f>IF(frame_summary!E7="","",frame_summary!E7)</f>
        <v/>
      </c>
      <c r="F41" s="7">
        <f>IF(frame_summary!F7="","",frame_summary!F7)</f>
        <v/>
      </c>
      <c r="G41" s="7">
        <f>IF(frame_summary!G7="","",frame_summary!G7)</f>
        <v/>
      </c>
      <c r="U41">
        <f>IF(frame_units!E38&lt;&gt;"",frame_units!E38,NA())</f>
        <v/>
      </c>
      <c r="V41">
        <f>IF(frame_units!E38&lt;&gt;"",frame_units!F38,NA())</f>
        <v/>
      </c>
    </row>
    <row r="42">
      <c r="A42">
        <f>IF(frame_summary!A8="","",frame_summary!A8)</f>
        <v/>
      </c>
      <c r="B42" s="7">
        <f>IF(frame_summary!B8="","",frame_summary!B8)</f>
        <v/>
      </c>
      <c r="C42" s="7">
        <f>IF(frame_summary!C8="","",frame_summary!C8)</f>
        <v/>
      </c>
      <c r="D42" s="7">
        <f>IF(frame_summary!D8="","",frame_summary!D8)</f>
        <v/>
      </c>
      <c r="E42" s="7">
        <f>IF(frame_summary!E8="","",frame_summary!E8)</f>
        <v/>
      </c>
      <c r="F42" s="7">
        <f>IF(frame_summary!F8="","",frame_summary!F8)</f>
        <v/>
      </c>
      <c r="G42" s="7">
        <f>IF(frame_summary!G8="","",frame_summary!G8)</f>
        <v/>
      </c>
      <c r="U42">
        <f>IF(frame_units!E39&lt;&gt;"",frame_units!E39,NA())</f>
        <v/>
      </c>
      <c r="V42">
        <f>IF(frame_units!E39&lt;&gt;"",frame_units!F39,NA())</f>
        <v/>
      </c>
    </row>
    <row r="43">
      <c r="A43">
        <f>IF(frame_summary!A9="","",frame_summary!A9)</f>
        <v/>
      </c>
      <c r="B43" s="7">
        <f>IF(frame_summary!B9="","",frame_summary!B9)</f>
        <v/>
      </c>
      <c r="C43" s="7">
        <f>IF(frame_summary!C9="","",frame_summary!C9)</f>
        <v/>
      </c>
      <c r="D43" s="7">
        <f>IF(frame_summary!D9="","",frame_summary!D9)</f>
        <v/>
      </c>
      <c r="E43" s="7">
        <f>IF(frame_summary!E9="","",frame_summary!E9)</f>
        <v/>
      </c>
      <c r="F43" s="7">
        <f>IF(frame_summary!F9="","",frame_summary!F9)</f>
        <v/>
      </c>
      <c r="G43" s="7">
        <f>IF(frame_summary!G9="","",frame_summary!G9)</f>
        <v/>
      </c>
      <c r="U43">
        <f>IF(frame_units!E40&lt;&gt;"",frame_units!E40,NA())</f>
        <v/>
      </c>
      <c r="V43">
        <f>IF(frame_units!E40&lt;&gt;"",frame_units!F40,NA())</f>
        <v/>
      </c>
    </row>
    <row r="44">
      <c r="A44">
        <f>IF(frame_summary!A10="","",frame_summary!A10)</f>
        <v/>
      </c>
      <c r="B44" s="7">
        <f>IF(frame_summary!B10="","",frame_summary!B10)</f>
        <v/>
      </c>
      <c r="C44" s="7">
        <f>IF(frame_summary!C10="","",frame_summary!C10)</f>
        <v/>
      </c>
      <c r="D44" s="7">
        <f>IF(frame_summary!D10="","",frame_summary!D10)</f>
        <v/>
      </c>
      <c r="E44" s="7">
        <f>IF(frame_summary!E10="","",frame_summary!E10)</f>
        <v/>
      </c>
      <c r="F44" s="7">
        <f>IF(frame_summary!F10="","",frame_summary!F10)</f>
        <v/>
      </c>
      <c r="G44" s="7">
        <f>IF(frame_summary!G10="","",frame_summary!G10)</f>
        <v/>
      </c>
      <c r="U44">
        <f>IF(frame_units!E41&lt;&gt;"",frame_units!E41,NA())</f>
        <v/>
      </c>
      <c r="V44">
        <f>IF(frame_units!E41&lt;&gt;"",frame_units!F41,NA())</f>
        <v/>
      </c>
    </row>
    <row r="45">
      <c r="A45">
        <f>IF(frame_summary!A11="","",frame_summary!A11)</f>
        <v/>
      </c>
      <c r="B45" s="7">
        <f>IF(frame_summary!B11="","",frame_summary!B11)</f>
        <v/>
      </c>
      <c r="C45" s="7">
        <f>IF(frame_summary!C11="","",frame_summary!C11)</f>
        <v/>
      </c>
      <c r="D45" s="7">
        <f>IF(frame_summary!D11="","",frame_summary!D11)</f>
        <v/>
      </c>
      <c r="E45" s="7">
        <f>IF(frame_summary!E11="","",frame_summary!E11)</f>
        <v/>
      </c>
      <c r="F45" s="7">
        <f>IF(frame_summary!F11="","",frame_summary!F11)</f>
        <v/>
      </c>
      <c r="G45" s="7">
        <f>IF(frame_summary!G11="","",frame_summary!G11)</f>
        <v/>
      </c>
      <c r="U45">
        <f>IF(frame_units!E42&lt;&gt;"",frame_units!E42,NA())</f>
        <v/>
      </c>
      <c r="V45">
        <f>IF(frame_units!E42&lt;&gt;"",frame_units!F42,NA())</f>
        <v/>
      </c>
    </row>
    <row r="46">
      <c r="A46">
        <f>IF(frame_summary!A12="","",frame_summary!A12)</f>
        <v/>
      </c>
      <c r="B46" s="7">
        <f>IF(frame_summary!B12="","",frame_summary!B12)</f>
        <v/>
      </c>
      <c r="C46" s="7">
        <f>IF(frame_summary!C12="","",frame_summary!C12)</f>
        <v/>
      </c>
      <c r="D46" s="7">
        <f>IF(frame_summary!D12="","",frame_summary!D12)</f>
        <v/>
      </c>
      <c r="E46" s="7">
        <f>IF(frame_summary!E12="","",frame_summary!E12)</f>
        <v/>
      </c>
      <c r="F46" s="7">
        <f>IF(frame_summary!F12="","",frame_summary!F12)</f>
        <v/>
      </c>
      <c r="G46" s="7">
        <f>IF(frame_summary!G12="","",frame_summary!G12)</f>
        <v/>
      </c>
      <c r="U46">
        <f>IF(frame_units!E43&lt;&gt;"",frame_units!E43,NA())</f>
        <v/>
      </c>
      <c r="V46">
        <f>IF(frame_units!E43&lt;&gt;"",frame_units!F43,NA())</f>
        <v/>
      </c>
    </row>
    <row r="47">
      <c r="A47">
        <f>IF(frame_summary!A13="","",frame_summary!A13)</f>
        <v/>
      </c>
      <c r="B47" s="7">
        <f>IF(frame_summary!B13="","",frame_summary!B13)</f>
        <v/>
      </c>
      <c r="C47" s="7">
        <f>IF(frame_summary!C13="","",frame_summary!C13)</f>
        <v/>
      </c>
      <c r="D47" s="7">
        <f>IF(frame_summary!D13="","",frame_summary!D13)</f>
        <v/>
      </c>
      <c r="E47" s="7">
        <f>IF(frame_summary!E13="","",frame_summary!E13)</f>
        <v/>
      </c>
      <c r="F47" s="7">
        <f>IF(frame_summary!F13="","",frame_summary!F13)</f>
        <v/>
      </c>
      <c r="G47" s="7">
        <f>IF(frame_summary!G13="","",frame_summary!G13)</f>
        <v/>
      </c>
      <c r="U47">
        <f>IF(frame_units!E44&lt;&gt;"",frame_units!E44,NA())</f>
        <v/>
      </c>
      <c r="V47">
        <f>IF(frame_units!E44&lt;&gt;"",frame_units!F44,NA())</f>
        <v/>
      </c>
    </row>
    <row r="48">
      <c r="A48">
        <f>IF(frame_summary!A14="","",frame_summary!A14)</f>
        <v/>
      </c>
      <c r="B48" s="7">
        <f>IF(frame_summary!B14="","",frame_summary!B14)</f>
        <v/>
      </c>
      <c r="C48" s="7">
        <f>IF(frame_summary!C14="","",frame_summary!C14)</f>
        <v/>
      </c>
      <c r="D48" s="7">
        <f>IF(frame_summary!D14="","",frame_summary!D14)</f>
        <v/>
      </c>
      <c r="E48" s="7">
        <f>IF(frame_summary!E14="","",frame_summary!E14)</f>
        <v/>
      </c>
      <c r="F48" s="7">
        <f>IF(frame_summary!F14="","",frame_summary!F14)</f>
        <v/>
      </c>
      <c r="G48" s="7">
        <f>IF(frame_summary!G14="","",frame_summary!G14)</f>
        <v/>
      </c>
      <c r="U48">
        <f>IF(frame_units!E45&lt;&gt;"",frame_units!E45,NA())</f>
        <v/>
      </c>
      <c r="V48">
        <f>IF(frame_units!E45&lt;&gt;"",frame_units!F45,NA())</f>
        <v/>
      </c>
    </row>
    <row r="49">
      <c r="A49">
        <f>IF(frame_summary!A15="","",frame_summary!A15)</f>
        <v/>
      </c>
      <c r="B49" s="7">
        <f>IF(frame_summary!B15="","",frame_summary!B15)</f>
        <v/>
      </c>
      <c r="C49" s="7">
        <f>IF(frame_summary!C15="","",frame_summary!C15)</f>
        <v/>
      </c>
      <c r="D49" s="7">
        <f>IF(frame_summary!D15="","",frame_summary!D15)</f>
        <v/>
      </c>
      <c r="E49" s="7">
        <f>IF(frame_summary!E15="","",frame_summary!E15)</f>
        <v/>
      </c>
      <c r="F49" s="7">
        <f>IF(frame_summary!F15="","",frame_summary!F15)</f>
        <v/>
      </c>
      <c r="G49" s="7">
        <f>IF(frame_summary!G15="","",frame_summary!G15)</f>
        <v/>
      </c>
      <c r="U49">
        <f>IF(frame_units!E46&lt;&gt;"",frame_units!E46,NA())</f>
        <v/>
      </c>
      <c r="V49">
        <f>IF(frame_units!E46&lt;&gt;"",frame_units!F46,NA())</f>
        <v/>
      </c>
    </row>
    <row r="50">
      <c r="A50">
        <f>IF(frame_summary!A16="","",frame_summary!A16)</f>
        <v/>
      </c>
      <c r="B50" s="7">
        <f>IF(frame_summary!B16="","",frame_summary!B16)</f>
        <v/>
      </c>
      <c r="C50" s="7">
        <f>IF(frame_summary!C16="","",frame_summary!C16)</f>
        <v/>
      </c>
      <c r="D50" s="7">
        <f>IF(frame_summary!D16="","",frame_summary!D16)</f>
        <v/>
      </c>
      <c r="E50" s="7">
        <f>IF(frame_summary!E16="","",frame_summary!E16)</f>
        <v/>
      </c>
      <c r="F50" s="7">
        <f>IF(frame_summary!F16="","",frame_summary!F16)</f>
        <v/>
      </c>
      <c r="G50" s="7">
        <f>IF(frame_summary!G16="","",frame_summary!G16)</f>
        <v/>
      </c>
      <c r="U50">
        <f>IF(frame_units!E47&lt;&gt;"",frame_units!E47,NA())</f>
        <v/>
      </c>
      <c r="V50">
        <f>IF(frame_units!E47&lt;&gt;"",frame_units!F47,NA())</f>
        <v/>
      </c>
    </row>
    <row r="51">
      <c r="A51">
        <f>IF(frame_summary!A17="","",frame_summary!A17)</f>
        <v/>
      </c>
      <c r="B51" s="7">
        <f>IF(frame_summary!B17="","",frame_summary!B17)</f>
        <v/>
      </c>
      <c r="C51" s="7">
        <f>IF(frame_summary!C17="","",frame_summary!C17)</f>
        <v/>
      </c>
      <c r="D51" s="7">
        <f>IF(frame_summary!D17="","",frame_summary!D17)</f>
        <v/>
      </c>
      <c r="E51" s="7">
        <f>IF(frame_summary!E17="","",frame_summary!E17)</f>
        <v/>
      </c>
      <c r="F51" s="7">
        <f>IF(frame_summary!F17="","",frame_summary!F17)</f>
        <v/>
      </c>
      <c r="G51" s="7">
        <f>IF(frame_summary!G17="","",frame_summary!G17)</f>
        <v/>
      </c>
      <c r="U51">
        <f>IF(frame_units!E48&lt;&gt;"",frame_units!E48,NA())</f>
        <v/>
      </c>
      <c r="V51">
        <f>IF(frame_units!E48&lt;&gt;"",frame_units!F48,NA())</f>
        <v/>
      </c>
    </row>
    <row r="52">
      <c r="A52">
        <f>IF(frame_summary!A18="","",frame_summary!A18)</f>
        <v/>
      </c>
      <c r="B52" s="7">
        <f>IF(frame_summary!B18="","",frame_summary!B18)</f>
        <v/>
      </c>
      <c r="C52" s="7">
        <f>IF(frame_summary!C18="","",frame_summary!C18)</f>
        <v/>
      </c>
      <c r="D52" s="7">
        <f>IF(frame_summary!D18="","",frame_summary!D18)</f>
        <v/>
      </c>
      <c r="E52" s="7">
        <f>IF(frame_summary!E18="","",frame_summary!E18)</f>
        <v/>
      </c>
      <c r="F52" s="7">
        <f>IF(frame_summary!F18="","",frame_summary!F18)</f>
        <v/>
      </c>
      <c r="G52" s="7">
        <f>IF(frame_summary!G18="","",frame_summary!G18)</f>
        <v/>
      </c>
      <c r="U52">
        <f>IF(frame_units!E49&lt;&gt;"",frame_units!E49,NA())</f>
        <v/>
      </c>
      <c r="V52">
        <f>IF(frame_units!E49&lt;&gt;"",frame_units!F49,NA())</f>
        <v/>
      </c>
    </row>
    <row r="53">
      <c r="A53">
        <f>IF(frame_summary!A19="","",frame_summary!A19)</f>
        <v/>
      </c>
      <c r="B53" s="7">
        <f>IF(frame_summary!B19="","",frame_summary!B19)</f>
        <v/>
      </c>
      <c r="C53" s="7">
        <f>IF(frame_summary!C19="","",frame_summary!C19)</f>
        <v/>
      </c>
      <c r="D53" s="7">
        <f>IF(frame_summary!D19="","",frame_summary!D19)</f>
        <v/>
      </c>
      <c r="E53" s="7">
        <f>IF(frame_summary!E19="","",frame_summary!E19)</f>
        <v/>
      </c>
      <c r="F53" s="7">
        <f>IF(frame_summary!F19="","",frame_summary!F19)</f>
        <v/>
      </c>
      <c r="G53" s="7">
        <f>IF(frame_summary!G19="","",frame_summary!G19)</f>
        <v/>
      </c>
      <c r="U53">
        <f>IF(frame_units!E50&lt;&gt;"",frame_units!E50,NA())</f>
        <v/>
      </c>
      <c r="V53">
        <f>IF(frame_units!E50&lt;&gt;"",frame_units!F50,NA())</f>
        <v/>
      </c>
    </row>
    <row r="54">
      <c r="A54">
        <f>IF(frame_summary!A20="","",frame_summary!A20)</f>
        <v/>
      </c>
      <c r="B54" s="7">
        <f>IF(frame_summary!B20="","",frame_summary!B20)</f>
        <v/>
      </c>
      <c r="C54" s="7">
        <f>IF(frame_summary!C20="","",frame_summary!C20)</f>
        <v/>
      </c>
      <c r="D54" s="7">
        <f>IF(frame_summary!D20="","",frame_summary!D20)</f>
        <v/>
      </c>
      <c r="E54" s="7">
        <f>IF(frame_summary!E20="","",frame_summary!E20)</f>
        <v/>
      </c>
      <c r="F54" s="7">
        <f>IF(frame_summary!F20="","",frame_summary!F20)</f>
        <v/>
      </c>
      <c r="G54" s="7">
        <f>IF(frame_summary!G20="","",frame_summary!G20)</f>
        <v/>
      </c>
      <c r="U54">
        <f>IF(frame_units!E51&lt;&gt;"",frame_units!E51,NA())</f>
        <v/>
      </c>
      <c r="V54">
        <f>IF(frame_units!E51&lt;&gt;"",frame_units!F51,NA())</f>
        <v/>
      </c>
    </row>
    <row r="55">
      <c r="A55">
        <f>IF(frame_summary!A21="","",frame_summary!A21)</f>
        <v/>
      </c>
      <c r="B55" s="7">
        <f>IF(frame_summary!B21="","",frame_summary!B21)</f>
        <v/>
      </c>
      <c r="C55" s="7">
        <f>IF(frame_summary!C21="","",frame_summary!C21)</f>
        <v/>
      </c>
      <c r="D55" s="7">
        <f>IF(frame_summary!D21="","",frame_summary!D21)</f>
        <v/>
      </c>
      <c r="E55" s="7">
        <f>IF(frame_summary!E21="","",frame_summary!E21)</f>
        <v/>
      </c>
      <c r="F55" s="7">
        <f>IF(frame_summary!F21="","",frame_summary!F21)</f>
        <v/>
      </c>
      <c r="G55" s="7">
        <f>IF(frame_summary!G21="","",frame_summary!G21)</f>
        <v/>
      </c>
      <c r="U55">
        <f>IF(frame_units!E52&lt;&gt;"",frame_units!E52,NA())</f>
        <v/>
      </c>
      <c r="V55">
        <f>IF(frame_units!E52&lt;&gt;"",frame_units!F52,NA())</f>
        <v/>
      </c>
    </row>
    <row r="56">
      <c r="A56">
        <f>IF(frame_summary!A22="","",frame_summary!A22)</f>
        <v/>
      </c>
      <c r="B56" s="7">
        <f>IF(frame_summary!B22="","",frame_summary!B22)</f>
        <v/>
      </c>
      <c r="C56" s="7">
        <f>IF(frame_summary!C22="","",frame_summary!C22)</f>
        <v/>
      </c>
      <c r="D56" s="7">
        <f>IF(frame_summary!D22="","",frame_summary!D22)</f>
        <v/>
      </c>
      <c r="E56" s="7">
        <f>IF(frame_summary!E22="","",frame_summary!E22)</f>
        <v/>
      </c>
      <c r="F56" s="7">
        <f>IF(frame_summary!F22="","",frame_summary!F22)</f>
        <v/>
      </c>
      <c r="G56" s="7">
        <f>IF(frame_summary!G22="","",frame_summary!G22)</f>
        <v/>
      </c>
      <c r="U56">
        <f>IF(frame_units!E53&lt;&gt;"",frame_units!E53,NA())</f>
        <v/>
      </c>
      <c r="V56">
        <f>IF(frame_units!E53&lt;&gt;"",frame_units!F53,NA())</f>
        <v/>
      </c>
    </row>
    <row r="57">
      <c r="A57">
        <f>IF(frame_summary!A23="","",frame_summary!A23)</f>
        <v/>
      </c>
      <c r="B57" s="7">
        <f>IF(frame_summary!B23="","",frame_summary!B23)</f>
        <v/>
      </c>
      <c r="C57" s="7">
        <f>IF(frame_summary!C23="","",frame_summary!C23)</f>
        <v/>
      </c>
      <c r="D57" s="7">
        <f>IF(frame_summary!D23="","",frame_summary!D23)</f>
        <v/>
      </c>
      <c r="E57" s="7">
        <f>IF(frame_summary!E23="","",frame_summary!E23)</f>
        <v/>
      </c>
      <c r="F57" s="7">
        <f>IF(frame_summary!F23="","",frame_summary!F23)</f>
        <v/>
      </c>
      <c r="G57" s="7">
        <f>IF(frame_summary!G23="","",frame_summary!G23)</f>
        <v/>
      </c>
      <c r="U57">
        <f>IF(frame_units!E54&lt;&gt;"",frame_units!E54,NA())</f>
        <v/>
      </c>
      <c r="V57">
        <f>IF(frame_units!E54&lt;&gt;"",frame_units!F54,NA())</f>
        <v/>
      </c>
    </row>
    <row r="58">
      <c r="A58">
        <f>IF(frame_summary!A24="","",frame_summary!A24)</f>
        <v/>
      </c>
      <c r="B58" s="7">
        <f>IF(frame_summary!B24="","",frame_summary!B24)</f>
        <v/>
      </c>
      <c r="C58" s="7">
        <f>IF(frame_summary!C24="","",frame_summary!C24)</f>
        <v/>
      </c>
      <c r="D58" s="7">
        <f>IF(frame_summary!D24="","",frame_summary!D24)</f>
        <v/>
      </c>
      <c r="E58" s="7">
        <f>IF(frame_summary!E24="","",frame_summary!E24)</f>
        <v/>
      </c>
      <c r="F58" s="7">
        <f>IF(frame_summary!F24="","",frame_summary!F24)</f>
        <v/>
      </c>
      <c r="G58" s="7">
        <f>IF(frame_summary!G24="","",frame_summary!G24)</f>
        <v/>
      </c>
      <c r="U58">
        <f>IF(frame_units!E55&lt;&gt;"",frame_units!E55,NA())</f>
        <v/>
      </c>
      <c r="V58">
        <f>IF(frame_units!E55&lt;&gt;"",frame_units!F55,NA())</f>
        <v/>
      </c>
    </row>
    <row r="59">
      <c r="A59">
        <f>IF(frame_summary!A25="","",frame_summary!A25)</f>
        <v/>
      </c>
      <c r="B59" s="7">
        <f>IF(frame_summary!B25="","",frame_summary!B25)</f>
        <v/>
      </c>
      <c r="C59" s="7">
        <f>IF(frame_summary!C25="","",frame_summary!C25)</f>
        <v/>
      </c>
      <c r="D59" s="7">
        <f>IF(frame_summary!D25="","",frame_summary!D25)</f>
        <v/>
      </c>
      <c r="E59" s="7">
        <f>IF(frame_summary!E25="","",frame_summary!E25)</f>
        <v/>
      </c>
      <c r="F59" s="7">
        <f>IF(frame_summary!F25="","",frame_summary!F25)</f>
        <v/>
      </c>
      <c r="G59" s="7">
        <f>IF(frame_summary!G25="","",frame_summary!G25)</f>
        <v/>
      </c>
      <c r="U59">
        <f>IF(frame_units!E56&lt;&gt;"",frame_units!E56,NA())</f>
        <v/>
      </c>
      <c r="V59">
        <f>IF(frame_units!E56&lt;&gt;"",frame_units!F56,NA())</f>
        <v/>
      </c>
    </row>
    <row r="60">
      <c r="A60">
        <f>IF(frame_summary!A26="","",frame_summary!A26)</f>
        <v/>
      </c>
      <c r="B60" s="7">
        <f>IF(frame_summary!B26="","",frame_summary!B26)</f>
        <v/>
      </c>
      <c r="C60" s="7">
        <f>IF(frame_summary!C26="","",frame_summary!C26)</f>
        <v/>
      </c>
      <c r="D60" s="7">
        <f>IF(frame_summary!D26="","",frame_summary!D26)</f>
        <v/>
      </c>
      <c r="E60" s="7">
        <f>IF(frame_summary!E26="","",frame_summary!E26)</f>
        <v/>
      </c>
      <c r="F60" s="7">
        <f>IF(frame_summary!F26="","",frame_summary!F26)</f>
        <v/>
      </c>
      <c r="G60" s="7">
        <f>IF(frame_summary!G26="","",frame_summary!G26)</f>
        <v/>
      </c>
      <c r="U60">
        <f>IF(frame_units!E57&lt;&gt;"",frame_units!E57,NA())</f>
        <v/>
      </c>
      <c r="V60">
        <f>IF(frame_units!E57&lt;&gt;"",frame_units!F57,NA())</f>
        <v/>
      </c>
    </row>
    <row r="61">
      <c r="A61">
        <f>IF(frame_summary!A27="","",frame_summary!A27)</f>
        <v/>
      </c>
      <c r="B61" s="7">
        <f>IF(frame_summary!B27="","",frame_summary!B27)</f>
        <v/>
      </c>
      <c r="C61" s="7">
        <f>IF(frame_summary!C27="","",frame_summary!C27)</f>
        <v/>
      </c>
      <c r="D61" s="7">
        <f>IF(frame_summary!D27="","",frame_summary!D27)</f>
        <v/>
      </c>
      <c r="E61" s="7">
        <f>IF(frame_summary!E27="","",frame_summary!E27)</f>
        <v/>
      </c>
      <c r="F61" s="7">
        <f>IF(frame_summary!F27="","",frame_summary!F27)</f>
        <v/>
      </c>
      <c r="G61" s="7">
        <f>IF(frame_summary!G27="","",frame_summary!G27)</f>
        <v/>
      </c>
      <c r="U61">
        <f>IF(frame_units!E58&lt;&gt;"",frame_units!E58,NA())</f>
        <v/>
      </c>
      <c r="V61">
        <f>IF(frame_units!E58&lt;&gt;"",frame_units!F58,NA())</f>
        <v/>
      </c>
    </row>
    <row r="62">
      <c r="A62">
        <f>IF(frame_summary!A28="","",frame_summary!A28)</f>
        <v/>
      </c>
      <c r="B62" s="7">
        <f>IF(frame_summary!B28="","",frame_summary!B28)</f>
        <v/>
      </c>
      <c r="C62" s="7">
        <f>IF(frame_summary!C28="","",frame_summary!C28)</f>
        <v/>
      </c>
      <c r="D62" s="7">
        <f>IF(frame_summary!D28="","",frame_summary!D28)</f>
        <v/>
      </c>
      <c r="E62" s="7">
        <f>IF(frame_summary!E28="","",frame_summary!E28)</f>
        <v/>
      </c>
      <c r="F62" s="7">
        <f>IF(frame_summary!F28="","",frame_summary!F28)</f>
        <v/>
      </c>
      <c r="G62" s="7">
        <f>IF(frame_summary!G28="","",frame_summary!G28)</f>
        <v/>
      </c>
      <c r="U62">
        <f>IF(frame_units!E59&lt;&gt;"",frame_units!E59,NA())</f>
        <v/>
      </c>
      <c r="V62">
        <f>IF(frame_units!E59&lt;&gt;"",frame_units!F59,NA())</f>
        <v/>
      </c>
    </row>
    <row r="63">
      <c r="A63">
        <f>IF(frame_summary!A29="","",frame_summary!A29)</f>
        <v/>
      </c>
      <c r="B63" s="7">
        <f>IF(frame_summary!B29="","",frame_summary!B29)</f>
        <v/>
      </c>
      <c r="C63" s="7">
        <f>IF(frame_summary!C29="","",frame_summary!C29)</f>
        <v/>
      </c>
      <c r="D63" s="7">
        <f>IF(frame_summary!D29="","",frame_summary!D29)</f>
        <v/>
      </c>
      <c r="E63" s="7">
        <f>IF(frame_summary!E29="","",frame_summary!E29)</f>
        <v/>
      </c>
      <c r="F63" s="7">
        <f>IF(frame_summary!F29="","",frame_summary!F29)</f>
        <v/>
      </c>
      <c r="G63" s="7">
        <f>IF(frame_summary!G29="","",frame_summary!G29)</f>
        <v/>
      </c>
      <c r="U63">
        <f>IF(frame_units!E60&lt;&gt;"",frame_units!E60,NA())</f>
        <v/>
      </c>
      <c r="V63">
        <f>IF(frame_units!E60&lt;&gt;"",frame_units!F60,NA())</f>
        <v/>
      </c>
    </row>
    <row r="64">
      <c r="A64">
        <f>IF(frame_summary!A30="","",frame_summary!A30)</f>
        <v/>
      </c>
      <c r="B64" s="7">
        <f>IF(frame_summary!B30="","",frame_summary!B30)</f>
        <v/>
      </c>
      <c r="C64" s="7">
        <f>IF(frame_summary!C30="","",frame_summary!C30)</f>
        <v/>
      </c>
      <c r="D64" s="7">
        <f>IF(frame_summary!D30="","",frame_summary!D30)</f>
        <v/>
      </c>
      <c r="E64" s="7">
        <f>IF(frame_summary!E30="","",frame_summary!E30)</f>
        <v/>
      </c>
      <c r="F64" s="7">
        <f>IF(frame_summary!F30="","",frame_summary!F30)</f>
        <v/>
      </c>
      <c r="G64" s="7">
        <f>IF(frame_summary!G30="","",frame_summary!G30)</f>
        <v/>
      </c>
      <c r="U64">
        <f>IF(frame_units!E61&lt;&gt;"",frame_units!E61,NA())</f>
        <v/>
      </c>
      <c r="V64">
        <f>IF(frame_units!E61&lt;&gt;"",frame_units!F61,NA())</f>
        <v/>
      </c>
    </row>
    <row r="65">
      <c r="A65">
        <f>IF(frame_summary!A31="","",frame_summary!A31)</f>
        <v/>
      </c>
      <c r="B65" s="7">
        <f>IF(frame_summary!B31="","",frame_summary!B31)</f>
        <v/>
      </c>
      <c r="C65" s="7">
        <f>IF(frame_summary!C31="","",frame_summary!C31)</f>
        <v/>
      </c>
      <c r="D65" s="7">
        <f>IF(frame_summary!D31="","",frame_summary!D31)</f>
        <v/>
      </c>
      <c r="E65" s="7">
        <f>IF(frame_summary!E31="","",frame_summary!E31)</f>
        <v/>
      </c>
      <c r="F65" s="7">
        <f>IF(frame_summary!F31="","",frame_summary!F31)</f>
        <v/>
      </c>
      <c r="G65" s="7">
        <f>IF(frame_summary!G31="","",frame_summary!G31)</f>
        <v/>
      </c>
      <c r="U65">
        <f>IF(frame_units!E62&lt;&gt;"",frame_units!E62,NA())</f>
        <v/>
      </c>
      <c r="V65">
        <f>IF(frame_units!E62&lt;&gt;"",frame_units!F62,NA())</f>
        <v/>
      </c>
    </row>
    <row r="66">
      <c r="A66">
        <f>IF(frame_summary!A32="","",frame_summary!A32)</f>
        <v/>
      </c>
      <c r="B66" s="7">
        <f>IF(frame_summary!B32="","",frame_summary!B32)</f>
        <v/>
      </c>
      <c r="C66" s="7">
        <f>IF(frame_summary!C32="","",frame_summary!C32)</f>
        <v/>
      </c>
      <c r="D66" s="7">
        <f>IF(frame_summary!D32="","",frame_summary!D32)</f>
        <v/>
      </c>
      <c r="E66" s="7">
        <f>IF(frame_summary!E32="","",frame_summary!E32)</f>
        <v/>
      </c>
      <c r="F66" s="7">
        <f>IF(frame_summary!F32="","",frame_summary!F32)</f>
        <v/>
      </c>
      <c r="G66" s="7">
        <f>IF(frame_summary!G32="","",frame_summary!G32)</f>
        <v/>
      </c>
      <c r="U66">
        <f>IF(frame_units!E63&lt;&gt;"",frame_units!E63,NA())</f>
        <v/>
      </c>
      <c r="V66">
        <f>IF(frame_units!E63&lt;&gt;"",frame_units!F63,NA())</f>
        <v/>
      </c>
    </row>
    <row r="67">
      <c r="A67">
        <f>IF(frame_summary!A33="","",frame_summary!A33)</f>
        <v/>
      </c>
      <c r="B67" s="7">
        <f>IF(frame_summary!B33="","",frame_summary!B33)</f>
        <v/>
      </c>
      <c r="C67" s="7">
        <f>IF(frame_summary!C33="","",frame_summary!C33)</f>
        <v/>
      </c>
      <c r="D67" s="7">
        <f>IF(frame_summary!D33="","",frame_summary!D33)</f>
        <v/>
      </c>
      <c r="E67" s="7">
        <f>IF(frame_summary!E33="","",frame_summary!E33)</f>
        <v/>
      </c>
      <c r="F67" s="7">
        <f>IF(frame_summary!F33="","",frame_summary!F33)</f>
        <v/>
      </c>
      <c r="G67" s="7">
        <f>IF(frame_summary!G33="","",frame_summary!G33)</f>
        <v/>
      </c>
      <c r="U67">
        <f>IF(frame_units!E64&lt;&gt;"",frame_units!E64,NA())</f>
        <v/>
      </c>
      <c r="V67">
        <f>IF(frame_units!E64&lt;&gt;"",frame_units!F64,NA())</f>
        <v/>
      </c>
    </row>
    <row r="68">
      <c r="A68">
        <f>IF(frame_summary!A34="","",frame_summary!A34)</f>
        <v/>
      </c>
      <c r="B68" s="7">
        <f>IF(frame_summary!B34="","",frame_summary!B34)</f>
        <v/>
      </c>
      <c r="C68" s="7">
        <f>IF(frame_summary!C34="","",frame_summary!C34)</f>
        <v/>
      </c>
      <c r="D68" s="7">
        <f>IF(frame_summary!D34="","",frame_summary!D34)</f>
        <v/>
      </c>
      <c r="E68" s="7">
        <f>IF(frame_summary!E34="","",frame_summary!E34)</f>
        <v/>
      </c>
      <c r="F68" s="7">
        <f>IF(frame_summary!F34="","",frame_summary!F34)</f>
        <v/>
      </c>
      <c r="G68" s="7">
        <f>IF(frame_summary!G34="","",frame_summary!G34)</f>
        <v/>
      </c>
      <c r="U68">
        <f>IF(frame_units!E65&lt;&gt;"",frame_units!E65,NA())</f>
        <v/>
      </c>
      <c r="V68">
        <f>IF(frame_units!E65&lt;&gt;"",frame_units!F65,NA())</f>
        <v/>
      </c>
    </row>
    <row r="69">
      <c r="A69">
        <f>IF(frame_summary!A35="","",frame_summary!A35)</f>
        <v/>
      </c>
      <c r="B69" s="7">
        <f>IF(frame_summary!B35="","",frame_summary!B35)</f>
        <v/>
      </c>
      <c r="C69" s="7">
        <f>IF(frame_summary!C35="","",frame_summary!C35)</f>
        <v/>
      </c>
      <c r="D69" s="7">
        <f>IF(frame_summary!D35="","",frame_summary!D35)</f>
        <v/>
      </c>
      <c r="E69" s="7">
        <f>IF(frame_summary!E35="","",frame_summary!E35)</f>
        <v/>
      </c>
      <c r="F69" s="7">
        <f>IF(frame_summary!F35="","",frame_summary!F35)</f>
        <v/>
      </c>
      <c r="G69" s="7">
        <f>IF(frame_summary!G35="","",frame_summary!G35)</f>
        <v/>
      </c>
      <c r="U69">
        <f>IF(frame_units!E66&lt;&gt;"",frame_units!E66,NA())</f>
        <v/>
      </c>
      <c r="V69">
        <f>IF(frame_units!E66&lt;&gt;"",frame_units!F66,NA())</f>
        <v/>
      </c>
    </row>
    <row r="70">
      <c r="A70">
        <f>IF(frame_summary!A36="","",frame_summary!A36)</f>
        <v/>
      </c>
      <c r="B70" s="7">
        <f>IF(frame_summary!B36="","",frame_summary!B36)</f>
        <v/>
      </c>
      <c r="C70" s="7">
        <f>IF(frame_summary!C36="","",frame_summary!C36)</f>
        <v/>
      </c>
      <c r="D70" s="7">
        <f>IF(frame_summary!D36="","",frame_summary!D36)</f>
        <v/>
      </c>
      <c r="E70" s="7">
        <f>IF(frame_summary!E36="","",frame_summary!E36)</f>
        <v/>
      </c>
      <c r="F70" s="7">
        <f>IF(frame_summary!F36="","",frame_summary!F36)</f>
        <v/>
      </c>
      <c r="G70" s="7">
        <f>IF(frame_summary!G36="","",frame_summary!G36)</f>
        <v/>
      </c>
      <c r="U70">
        <f>IF(frame_units!E67&lt;&gt;"",frame_units!E67,NA())</f>
        <v/>
      </c>
      <c r="V70">
        <f>IF(frame_units!E67&lt;&gt;"",frame_units!F67,NA())</f>
        <v/>
      </c>
    </row>
    <row r="71">
      <c r="A71">
        <f>IF(frame_summary!A37="","",frame_summary!A37)</f>
        <v/>
      </c>
      <c r="B71" s="7">
        <f>IF(frame_summary!B37="","",frame_summary!B37)</f>
        <v/>
      </c>
      <c r="C71" s="7">
        <f>IF(frame_summary!C37="","",frame_summary!C37)</f>
        <v/>
      </c>
      <c r="D71" s="7">
        <f>IF(frame_summary!D37="","",frame_summary!D37)</f>
        <v/>
      </c>
      <c r="E71" s="7">
        <f>IF(frame_summary!E37="","",frame_summary!E37)</f>
        <v/>
      </c>
      <c r="F71" s="7">
        <f>IF(frame_summary!F37="","",frame_summary!F37)</f>
        <v/>
      </c>
      <c r="G71" s="7">
        <f>IF(frame_summary!G37="","",frame_summary!G37)</f>
        <v/>
      </c>
      <c r="U71">
        <f>IF(frame_units!E68&lt;&gt;"",frame_units!E68,NA())</f>
        <v/>
      </c>
      <c r="V71">
        <f>IF(frame_units!E68&lt;&gt;"",frame_units!F68,NA())</f>
        <v/>
      </c>
    </row>
    <row r="72">
      <c r="A72">
        <f>IF(frame_summary!A38="","",frame_summary!A38)</f>
        <v/>
      </c>
      <c r="B72" s="7">
        <f>IF(frame_summary!B38="","",frame_summary!B38)</f>
        <v/>
      </c>
      <c r="C72" s="7">
        <f>IF(frame_summary!C38="","",frame_summary!C38)</f>
        <v/>
      </c>
      <c r="D72" s="7">
        <f>IF(frame_summary!D38="","",frame_summary!D38)</f>
        <v/>
      </c>
      <c r="E72" s="7">
        <f>IF(frame_summary!E38="","",frame_summary!E38)</f>
        <v/>
      </c>
      <c r="F72" s="7">
        <f>IF(frame_summary!F38="","",frame_summary!F38)</f>
        <v/>
      </c>
      <c r="G72" s="7">
        <f>IF(frame_summary!G38="","",frame_summary!G38)</f>
        <v/>
      </c>
      <c r="U72">
        <f>IF(frame_units!E69&lt;&gt;"",frame_units!E69,NA())</f>
        <v/>
      </c>
      <c r="V72">
        <f>IF(frame_units!E69&lt;&gt;"",frame_units!F69,NA())</f>
        <v/>
      </c>
    </row>
    <row r="73">
      <c r="A73">
        <f>IF(frame_summary!A39="","",frame_summary!A39)</f>
        <v/>
      </c>
      <c r="B73" s="7">
        <f>IF(frame_summary!B39="","",frame_summary!B39)</f>
        <v/>
      </c>
      <c r="C73" s="7">
        <f>IF(frame_summary!C39="","",frame_summary!C39)</f>
        <v/>
      </c>
      <c r="D73" s="7">
        <f>IF(frame_summary!D39="","",frame_summary!D39)</f>
        <v/>
      </c>
      <c r="E73" s="7">
        <f>IF(frame_summary!E39="","",frame_summary!E39)</f>
        <v/>
      </c>
      <c r="F73" s="7">
        <f>IF(frame_summary!F39="","",frame_summary!F39)</f>
        <v/>
      </c>
      <c r="G73" s="7">
        <f>IF(frame_summary!G39="","",frame_summary!G39)</f>
        <v/>
      </c>
      <c r="U73">
        <f>IF(frame_units!E70&lt;&gt;"",frame_units!E70,NA())</f>
        <v/>
      </c>
      <c r="V73">
        <f>IF(frame_units!E70&lt;&gt;"",frame_units!F70,NA())</f>
        <v/>
      </c>
    </row>
    <row r="74">
      <c r="A74">
        <f>IF(frame_summary!A40="","",frame_summary!A40)</f>
        <v/>
      </c>
      <c r="B74" s="7">
        <f>IF(frame_summary!B40="","",frame_summary!B40)</f>
        <v/>
      </c>
      <c r="C74" s="7">
        <f>IF(frame_summary!C40="","",frame_summary!C40)</f>
        <v/>
      </c>
      <c r="D74" s="7">
        <f>IF(frame_summary!D40="","",frame_summary!D40)</f>
        <v/>
      </c>
      <c r="E74" s="7">
        <f>IF(frame_summary!E40="","",frame_summary!E40)</f>
        <v/>
      </c>
      <c r="F74" s="7">
        <f>IF(frame_summary!F40="","",frame_summary!F40)</f>
        <v/>
      </c>
      <c r="G74" s="7">
        <f>IF(frame_summary!G40="","",frame_summary!G40)</f>
        <v/>
      </c>
      <c r="U74">
        <f>IF(frame_units!E71&lt;&gt;"",frame_units!E71,NA())</f>
        <v/>
      </c>
      <c r="V74">
        <f>IF(frame_units!E71&lt;&gt;"",frame_units!F71,NA())</f>
        <v/>
      </c>
    </row>
    <row r="75">
      <c r="A75">
        <f>IF(frame_summary!A41="","",frame_summary!A41)</f>
        <v/>
      </c>
      <c r="B75" s="7">
        <f>IF(frame_summary!B41="","",frame_summary!B41)</f>
        <v/>
      </c>
      <c r="C75" s="7">
        <f>IF(frame_summary!C41="","",frame_summary!C41)</f>
        <v/>
      </c>
      <c r="D75" s="7">
        <f>IF(frame_summary!D41="","",frame_summary!D41)</f>
        <v/>
      </c>
      <c r="E75" s="7">
        <f>IF(frame_summary!E41="","",frame_summary!E41)</f>
        <v/>
      </c>
      <c r="F75" s="7">
        <f>IF(frame_summary!F41="","",frame_summary!F41)</f>
        <v/>
      </c>
      <c r="G75" s="7">
        <f>IF(frame_summary!G41="","",frame_summary!G41)</f>
        <v/>
      </c>
      <c r="U75">
        <f>IF(frame_units!E72&lt;&gt;"",frame_units!E72,NA())</f>
        <v/>
      </c>
      <c r="V75">
        <f>IF(frame_units!E72&lt;&gt;"",frame_units!F72,NA())</f>
        <v/>
      </c>
    </row>
    <row r="76">
      <c r="U76">
        <f>IF(frame_units!E73&lt;&gt;"",frame_units!E73,NA())</f>
        <v/>
      </c>
      <c r="V76">
        <f>IF(frame_units!E73&lt;&gt;"",frame_units!F73,NA())</f>
        <v/>
      </c>
    </row>
    <row r="77">
      <c r="A77" s="3" t="inlineStr">
        <is>
          <t>Replacement candidates (replacements.csv)</t>
        </is>
      </c>
      <c r="U77">
        <f>IF(frame_units!E74&lt;&gt;"",frame_units!E74,NA())</f>
        <v/>
      </c>
      <c r="V77">
        <f>IF(frame_units!E74&lt;&gt;"",frame_units!F74,NA())</f>
        <v/>
      </c>
    </row>
    <row r="78">
      <c r="A78" s="6" t="inlineStr">
        <is>
          <t>unit_id</t>
        </is>
      </c>
      <c r="B78" s="6" t="inlineStr">
        <is>
          <t>candidate_id</t>
        </is>
      </c>
      <c r="C78" s="6" t="inlineStr">
        <is>
          <t>rank</t>
        </is>
      </c>
      <c r="D78" s="6" t="inlineStr">
        <is>
          <t>distance</t>
        </is>
      </c>
      <c r="E78" s="6" t="inlineStr">
        <is>
          <t>stratum</t>
        </is>
      </c>
      <c r="F78" s="6" t="inlineStr">
        <is>
          <t>adjacency</t>
        </is>
      </c>
      <c r="U78">
        <f>IF(frame_units!E75&lt;&gt;"",frame_units!E75,NA())</f>
        <v/>
      </c>
      <c r="V78">
        <f>IF(frame_units!E75&lt;&gt;"",frame_units!F75,NA())</f>
        <v/>
      </c>
    </row>
    <row r="79">
      <c r="A79">
        <f>IF(replacements!A2="","",replacements!A2)</f>
        <v/>
      </c>
      <c r="B79">
        <f>IF(replacements!B2="","",replacements!B2)</f>
        <v/>
      </c>
      <c r="C79" s="13">
        <f>IF(replacements!C2="","",replacements!C2)</f>
        <v/>
      </c>
      <c r="D79" s="7">
        <f>IF(replacements!D2="","",replacements!D2)</f>
        <v/>
      </c>
      <c r="E79">
        <f>IF(replacements!E2="","",replacements!E2)</f>
        <v/>
      </c>
      <c r="F79">
        <f>IF(replacements!F2="","",replacements!F2)</f>
        <v/>
      </c>
      <c r="U79">
        <f>IF(frame_units!E76&lt;&gt;"",frame_units!E76,NA())</f>
        <v/>
      </c>
      <c r="V79">
        <f>IF(frame_units!E76&lt;&gt;"",frame_units!F76,NA())</f>
        <v/>
      </c>
    </row>
    <row r="80">
      <c r="A80">
        <f>IF(replacements!A3="","",replacements!A3)</f>
        <v/>
      </c>
      <c r="B80">
        <f>IF(replacements!B3="","",replacements!B3)</f>
        <v/>
      </c>
      <c r="C80" s="13">
        <f>IF(replacements!C3="","",replacements!C3)</f>
        <v/>
      </c>
      <c r="D80" s="7">
        <f>IF(replacements!D3="","",replacements!D3)</f>
        <v/>
      </c>
      <c r="E80">
        <f>IF(replacements!E3="","",replacements!E3)</f>
        <v/>
      </c>
      <c r="F80">
        <f>IF(replacements!F3="","",replacements!F3)</f>
        <v/>
      </c>
      <c r="U80">
        <f>IF(frame_units!E77&lt;&gt;"",frame_units!E77,NA())</f>
        <v/>
      </c>
      <c r="V80">
        <f>IF(frame_units!E77&lt;&gt;"",frame_units!F77,NA())</f>
        <v/>
      </c>
    </row>
    <row r="81">
      <c r="A81">
        <f>IF(replacements!A4="","",replacements!A4)</f>
        <v/>
      </c>
      <c r="B81">
        <f>IF(replacements!B4="","",replacements!B4)</f>
        <v/>
      </c>
      <c r="C81" s="13">
        <f>IF(replacements!C4="","",replacements!C4)</f>
        <v/>
      </c>
      <c r="D81" s="7">
        <f>IF(replacements!D4="","",replacements!D4)</f>
        <v/>
      </c>
      <c r="E81">
        <f>IF(replacements!E4="","",replacements!E4)</f>
        <v/>
      </c>
      <c r="F81">
        <f>IF(replacements!F4="","",replacements!F4)</f>
        <v/>
      </c>
      <c r="U81">
        <f>IF(frame_units!E78&lt;&gt;"",frame_units!E78,NA())</f>
        <v/>
      </c>
      <c r="V81">
        <f>IF(frame_units!E78&lt;&gt;"",frame_units!F78,NA())</f>
        <v/>
      </c>
    </row>
    <row r="82">
      <c r="A82">
        <f>IF(replacements!A5="","",replacements!A5)</f>
        <v/>
      </c>
      <c r="B82">
        <f>IF(replacements!B5="","",replacements!B5)</f>
        <v/>
      </c>
      <c r="C82" s="13">
        <f>IF(replacements!C5="","",replacements!C5)</f>
        <v/>
      </c>
      <c r="D82" s="7">
        <f>IF(replacements!D5="","",replacements!D5)</f>
        <v/>
      </c>
      <c r="E82">
        <f>IF(replacements!E5="","",replacements!E5)</f>
        <v/>
      </c>
      <c r="F82">
        <f>IF(replacements!F5="","",replacements!F5)</f>
        <v/>
      </c>
      <c r="U82">
        <f>IF(frame_units!E79&lt;&gt;"",frame_units!E79,NA())</f>
        <v/>
      </c>
      <c r="V82">
        <f>IF(frame_units!E79&lt;&gt;"",frame_units!F79,NA())</f>
        <v/>
      </c>
    </row>
    <row r="83">
      <c r="A83">
        <f>IF(replacements!A6="","",replacements!A6)</f>
        <v/>
      </c>
      <c r="B83">
        <f>IF(replacements!B6="","",replacements!B6)</f>
        <v/>
      </c>
      <c r="C83" s="13">
        <f>IF(replacements!C6="","",replacements!C6)</f>
        <v/>
      </c>
      <c r="D83" s="7">
        <f>IF(replacements!D6="","",replacements!D6)</f>
        <v/>
      </c>
      <c r="E83">
        <f>IF(replacements!E6="","",replacements!E6)</f>
        <v/>
      </c>
      <c r="F83">
        <f>IF(replacements!F6="","",replacements!F6)</f>
        <v/>
      </c>
      <c r="U83">
        <f>IF(frame_units!E80&lt;&gt;"",frame_units!E80,NA())</f>
        <v/>
      </c>
      <c r="V83">
        <f>IF(frame_units!E80&lt;&gt;"",frame_units!F80,NA())</f>
        <v/>
      </c>
    </row>
    <row r="84">
      <c r="A84">
        <f>IF(replacements!A7="","",replacements!A7)</f>
        <v/>
      </c>
      <c r="B84">
        <f>IF(replacements!B7="","",replacements!B7)</f>
        <v/>
      </c>
      <c r="C84" s="13">
        <f>IF(replacements!C7="","",replacements!C7)</f>
        <v/>
      </c>
      <c r="D84" s="7">
        <f>IF(replacements!D7="","",replacements!D7)</f>
        <v/>
      </c>
      <c r="E84">
        <f>IF(replacements!E7="","",replacements!E7)</f>
        <v/>
      </c>
      <c r="F84">
        <f>IF(replacements!F7="","",replacements!F7)</f>
        <v/>
      </c>
      <c r="U84">
        <f>IF(frame_units!E81&lt;&gt;"",frame_units!E81,NA())</f>
        <v/>
      </c>
      <c r="V84">
        <f>IF(frame_units!E81&lt;&gt;"",frame_units!F81,NA())</f>
        <v/>
      </c>
    </row>
    <row r="85">
      <c r="A85">
        <f>IF(replacements!A8="","",replacements!A8)</f>
        <v/>
      </c>
      <c r="B85">
        <f>IF(replacements!B8="","",replacements!B8)</f>
        <v/>
      </c>
      <c r="C85" s="13">
        <f>IF(replacements!C8="","",replacements!C8)</f>
        <v/>
      </c>
      <c r="D85" s="7">
        <f>IF(replacements!D8="","",replacements!D8)</f>
        <v/>
      </c>
      <c r="E85">
        <f>IF(replacements!E8="","",replacements!E8)</f>
        <v/>
      </c>
      <c r="F85">
        <f>IF(replacements!F8="","",replacements!F8)</f>
        <v/>
      </c>
      <c r="U85">
        <f>IF(frame_units!E82&lt;&gt;"",frame_units!E82,NA())</f>
        <v/>
      </c>
      <c r="V85">
        <f>IF(frame_units!E82&lt;&gt;"",frame_units!F82,NA())</f>
        <v/>
      </c>
    </row>
    <row r="86">
      <c r="A86">
        <f>IF(replacements!A9="","",replacements!A9)</f>
        <v/>
      </c>
      <c r="B86">
        <f>IF(replacements!B9="","",replacements!B9)</f>
        <v/>
      </c>
      <c r="C86" s="13">
        <f>IF(replacements!C9="","",replacements!C9)</f>
        <v/>
      </c>
      <c r="D86" s="7">
        <f>IF(replacements!D9="","",replacements!D9)</f>
        <v/>
      </c>
      <c r="E86">
        <f>IF(replacements!E9="","",replacements!E9)</f>
        <v/>
      </c>
      <c r="F86">
        <f>IF(replacements!F9="","",replacements!F9)</f>
        <v/>
      </c>
      <c r="U86">
        <f>IF(frame_units!E83&lt;&gt;"",frame_units!E83,NA())</f>
        <v/>
      </c>
      <c r="V86">
        <f>IF(frame_units!E83&lt;&gt;"",frame_units!F83,NA())</f>
        <v/>
      </c>
    </row>
    <row r="87">
      <c r="A87">
        <f>IF(replacements!A10="","",replacements!A10)</f>
        <v/>
      </c>
      <c r="B87">
        <f>IF(replacements!B10="","",replacements!B10)</f>
        <v/>
      </c>
      <c r="C87" s="13">
        <f>IF(replacements!C10="","",replacements!C10)</f>
        <v/>
      </c>
      <c r="D87" s="7">
        <f>IF(replacements!D10="","",replacements!D10)</f>
        <v/>
      </c>
      <c r="E87">
        <f>IF(replacements!E10="","",replacements!E10)</f>
        <v/>
      </c>
      <c r="F87">
        <f>IF(replacements!F10="","",replacements!F10)</f>
        <v/>
      </c>
      <c r="U87">
        <f>IF(frame_units!E84&lt;&gt;"",frame_units!E84,NA())</f>
        <v/>
      </c>
      <c r="V87">
        <f>IF(frame_units!E84&lt;&gt;"",frame_units!F84,NA())</f>
        <v/>
      </c>
    </row>
    <row r="88">
      <c r="A88">
        <f>IF(replacements!A11="","",replacements!A11)</f>
        <v/>
      </c>
      <c r="B88">
        <f>IF(replacements!B11="","",replacements!B11)</f>
        <v/>
      </c>
      <c r="C88" s="13">
        <f>IF(replacements!C11="","",replacements!C11)</f>
        <v/>
      </c>
      <c r="D88" s="7">
        <f>IF(replacements!D11="","",replacements!D11)</f>
        <v/>
      </c>
      <c r="E88">
        <f>IF(replacements!E11="","",replacements!E11)</f>
        <v/>
      </c>
      <c r="F88">
        <f>IF(replacements!F11="","",replacements!F11)</f>
        <v/>
      </c>
      <c r="U88">
        <f>IF(frame_units!E85&lt;&gt;"",frame_units!E85,NA())</f>
        <v/>
      </c>
      <c r="V88">
        <f>IF(frame_units!E85&lt;&gt;"",frame_units!F85,NA())</f>
        <v/>
      </c>
    </row>
    <row r="89">
      <c r="A89">
        <f>IF(replacements!A12="","",replacements!A12)</f>
        <v/>
      </c>
      <c r="B89">
        <f>IF(replacements!B12="","",replacements!B12)</f>
        <v/>
      </c>
      <c r="C89" s="13">
        <f>IF(replacements!C12="","",replacements!C12)</f>
        <v/>
      </c>
      <c r="D89" s="7">
        <f>IF(replacements!D12="","",replacements!D12)</f>
        <v/>
      </c>
      <c r="E89">
        <f>IF(replacements!E12="","",replacements!E12)</f>
        <v/>
      </c>
      <c r="F89">
        <f>IF(replacements!F12="","",replacements!F12)</f>
        <v/>
      </c>
      <c r="U89">
        <f>IF(frame_units!E86&lt;&gt;"",frame_units!E86,NA())</f>
        <v/>
      </c>
      <c r="V89">
        <f>IF(frame_units!E86&lt;&gt;"",frame_units!F86,NA())</f>
        <v/>
      </c>
    </row>
    <row r="90">
      <c r="A90">
        <f>IF(replacements!A13="","",replacements!A13)</f>
        <v/>
      </c>
      <c r="B90">
        <f>IF(replacements!B13="","",replacements!B13)</f>
        <v/>
      </c>
      <c r="C90" s="13">
        <f>IF(replacements!C13="","",replacements!C13)</f>
        <v/>
      </c>
      <c r="D90" s="7">
        <f>IF(replacements!D13="","",replacements!D13)</f>
        <v/>
      </c>
      <c r="E90">
        <f>IF(replacements!E13="","",replacements!E13)</f>
        <v/>
      </c>
      <c r="F90">
        <f>IF(replacements!F13="","",replacements!F13)</f>
        <v/>
      </c>
      <c r="U90">
        <f>IF(frame_units!E87&lt;&gt;"",frame_units!E87,NA())</f>
        <v/>
      </c>
      <c r="V90">
        <f>IF(frame_units!E87&lt;&gt;"",frame_units!F87,NA())</f>
        <v/>
      </c>
    </row>
    <row r="91">
      <c r="A91">
        <f>IF(replacements!A14="","",replacements!A14)</f>
        <v/>
      </c>
      <c r="B91">
        <f>IF(replacements!B14="","",replacements!B14)</f>
        <v/>
      </c>
      <c r="C91" s="13">
        <f>IF(replacements!C14="","",replacements!C14)</f>
        <v/>
      </c>
      <c r="D91" s="7">
        <f>IF(replacements!D14="","",replacements!D14)</f>
        <v/>
      </c>
      <c r="E91">
        <f>IF(replacements!E14="","",replacements!E14)</f>
        <v/>
      </c>
      <c r="F91">
        <f>IF(replacements!F14="","",replacements!F14)</f>
        <v/>
      </c>
      <c r="U91">
        <f>IF(frame_units!E88&lt;&gt;"",frame_units!E88,NA())</f>
        <v/>
      </c>
      <c r="V91">
        <f>IF(frame_units!E88&lt;&gt;"",frame_units!F88,NA())</f>
        <v/>
      </c>
    </row>
    <row r="92">
      <c r="A92">
        <f>IF(replacements!A15="","",replacements!A15)</f>
        <v/>
      </c>
      <c r="B92">
        <f>IF(replacements!B15="","",replacements!B15)</f>
        <v/>
      </c>
      <c r="C92" s="13">
        <f>IF(replacements!C15="","",replacements!C15)</f>
        <v/>
      </c>
      <c r="D92" s="7">
        <f>IF(replacements!D15="","",replacements!D15)</f>
        <v/>
      </c>
      <c r="E92">
        <f>IF(replacements!E15="","",replacements!E15)</f>
        <v/>
      </c>
      <c r="F92">
        <f>IF(replacements!F15="","",replacements!F15)</f>
        <v/>
      </c>
      <c r="U92">
        <f>IF(frame_units!E89&lt;&gt;"",frame_units!E89,NA())</f>
        <v/>
      </c>
      <c r="V92">
        <f>IF(frame_units!E89&lt;&gt;"",frame_units!F89,NA())</f>
        <v/>
      </c>
    </row>
    <row r="93">
      <c r="A93">
        <f>IF(replacements!A16="","",replacements!A16)</f>
        <v/>
      </c>
      <c r="B93">
        <f>IF(replacements!B16="","",replacements!B16)</f>
        <v/>
      </c>
      <c r="C93" s="13">
        <f>IF(replacements!C16="","",replacements!C16)</f>
        <v/>
      </c>
      <c r="D93" s="7">
        <f>IF(replacements!D16="","",replacements!D16)</f>
        <v/>
      </c>
      <c r="E93">
        <f>IF(replacements!E16="","",replacements!E16)</f>
        <v/>
      </c>
      <c r="F93">
        <f>IF(replacements!F16="","",replacements!F16)</f>
        <v/>
      </c>
      <c r="U93">
        <f>IF(frame_units!E90&lt;&gt;"",frame_units!E90,NA())</f>
        <v/>
      </c>
      <c r="V93">
        <f>IF(frame_units!E90&lt;&gt;"",frame_units!F90,NA())</f>
        <v/>
      </c>
    </row>
    <row r="94">
      <c r="A94">
        <f>IF(replacements!A17="","",replacements!A17)</f>
        <v/>
      </c>
      <c r="B94">
        <f>IF(replacements!B17="","",replacements!B17)</f>
        <v/>
      </c>
      <c r="C94" s="13">
        <f>IF(replacements!C17="","",replacements!C17)</f>
        <v/>
      </c>
      <c r="D94" s="7">
        <f>IF(replacements!D17="","",replacements!D17)</f>
        <v/>
      </c>
      <c r="E94">
        <f>IF(replacements!E17="","",replacements!E17)</f>
        <v/>
      </c>
      <c r="F94">
        <f>IF(replacements!F17="","",replacements!F17)</f>
        <v/>
      </c>
      <c r="U94">
        <f>IF(frame_units!E91&lt;&gt;"",frame_units!E91,NA())</f>
        <v/>
      </c>
      <c r="V94">
        <f>IF(frame_units!E91&lt;&gt;"",frame_units!F91,NA())</f>
        <v/>
      </c>
    </row>
    <row r="95">
      <c r="A95">
        <f>IF(replacements!A18="","",replacements!A18)</f>
        <v/>
      </c>
      <c r="B95">
        <f>IF(replacements!B18="","",replacements!B18)</f>
        <v/>
      </c>
      <c r="C95" s="13">
        <f>IF(replacements!C18="","",replacements!C18)</f>
        <v/>
      </c>
      <c r="D95" s="7">
        <f>IF(replacements!D18="","",replacements!D18)</f>
        <v/>
      </c>
      <c r="E95">
        <f>IF(replacements!E18="","",replacements!E18)</f>
        <v/>
      </c>
      <c r="F95">
        <f>IF(replacements!F18="","",replacements!F18)</f>
        <v/>
      </c>
      <c r="U95">
        <f>IF(frame_units!E92&lt;&gt;"",frame_units!E92,NA())</f>
        <v/>
      </c>
      <c r="V95">
        <f>IF(frame_units!E92&lt;&gt;"",frame_units!F92,NA())</f>
        <v/>
      </c>
    </row>
    <row r="96">
      <c r="A96">
        <f>IF(replacements!A19="","",replacements!A19)</f>
        <v/>
      </c>
      <c r="B96">
        <f>IF(replacements!B19="","",replacements!B19)</f>
        <v/>
      </c>
      <c r="C96" s="13">
        <f>IF(replacements!C19="","",replacements!C19)</f>
        <v/>
      </c>
      <c r="D96" s="7">
        <f>IF(replacements!D19="","",replacements!D19)</f>
        <v/>
      </c>
      <c r="E96">
        <f>IF(replacements!E19="","",replacements!E19)</f>
        <v/>
      </c>
      <c r="F96">
        <f>IF(replacements!F19="","",replacements!F19)</f>
        <v/>
      </c>
      <c r="U96">
        <f>IF(frame_units!E93&lt;&gt;"",frame_units!E93,NA())</f>
        <v/>
      </c>
      <c r="V96">
        <f>IF(frame_units!E93&lt;&gt;"",frame_units!F93,NA())</f>
        <v/>
      </c>
    </row>
    <row r="97">
      <c r="A97">
        <f>IF(replacements!A20="","",replacements!A20)</f>
        <v/>
      </c>
      <c r="B97">
        <f>IF(replacements!B20="","",replacements!B20)</f>
        <v/>
      </c>
      <c r="C97" s="13">
        <f>IF(replacements!C20="","",replacements!C20)</f>
        <v/>
      </c>
      <c r="D97" s="7">
        <f>IF(replacements!D20="","",replacements!D20)</f>
        <v/>
      </c>
      <c r="E97">
        <f>IF(replacements!E20="","",replacements!E20)</f>
        <v/>
      </c>
      <c r="F97">
        <f>IF(replacements!F20="","",replacements!F20)</f>
        <v/>
      </c>
      <c r="U97">
        <f>IF(frame_units!E94&lt;&gt;"",frame_units!E94,NA())</f>
        <v/>
      </c>
      <c r="V97">
        <f>IF(frame_units!E94&lt;&gt;"",frame_units!F94,NA())</f>
        <v/>
      </c>
    </row>
    <row r="98">
      <c r="A98">
        <f>IF(replacements!A21="","",replacements!A21)</f>
        <v/>
      </c>
      <c r="B98">
        <f>IF(replacements!B21="","",replacements!B21)</f>
        <v/>
      </c>
      <c r="C98" s="13">
        <f>IF(replacements!C21="","",replacements!C21)</f>
        <v/>
      </c>
      <c r="D98" s="7">
        <f>IF(replacements!D21="","",replacements!D21)</f>
        <v/>
      </c>
      <c r="E98">
        <f>IF(replacements!E21="","",replacements!E21)</f>
        <v/>
      </c>
      <c r="F98">
        <f>IF(replacements!F21="","",replacements!F21)</f>
        <v/>
      </c>
      <c r="U98">
        <f>IF(frame_units!E95&lt;&gt;"",frame_units!E95,NA())</f>
        <v/>
      </c>
      <c r="V98">
        <f>IF(frame_units!E95&lt;&gt;"",frame_units!F95,NA())</f>
        <v/>
      </c>
    </row>
    <row r="99">
      <c r="A99">
        <f>IF(replacements!A22="","",replacements!A22)</f>
        <v/>
      </c>
      <c r="B99">
        <f>IF(replacements!B22="","",replacements!B22)</f>
        <v/>
      </c>
      <c r="C99" s="13">
        <f>IF(replacements!C22="","",replacements!C22)</f>
        <v/>
      </c>
      <c r="D99" s="7">
        <f>IF(replacements!D22="","",replacements!D22)</f>
        <v/>
      </c>
      <c r="E99">
        <f>IF(replacements!E22="","",replacements!E22)</f>
        <v/>
      </c>
      <c r="F99">
        <f>IF(replacements!F22="","",replacements!F22)</f>
        <v/>
      </c>
      <c r="U99">
        <f>IF(frame_units!E96&lt;&gt;"",frame_units!E96,NA())</f>
        <v/>
      </c>
      <c r="V99">
        <f>IF(frame_units!E96&lt;&gt;"",frame_units!F96,NA())</f>
        <v/>
      </c>
    </row>
    <row r="100">
      <c r="A100">
        <f>IF(replacements!A23="","",replacements!A23)</f>
        <v/>
      </c>
      <c r="B100">
        <f>IF(replacements!B23="","",replacements!B23)</f>
        <v/>
      </c>
      <c r="C100" s="13">
        <f>IF(replacements!C23="","",replacements!C23)</f>
        <v/>
      </c>
      <c r="D100" s="7">
        <f>IF(replacements!D23="","",replacements!D23)</f>
        <v/>
      </c>
      <c r="E100">
        <f>IF(replacements!E23="","",replacements!E23)</f>
        <v/>
      </c>
      <c r="F100">
        <f>IF(replacements!F23="","",replacements!F23)</f>
        <v/>
      </c>
      <c r="U100">
        <f>IF(frame_units!E97&lt;&gt;"",frame_units!E97,NA())</f>
        <v/>
      </c>
      <c r="V100">
        <f>IF(frame_units!E97&lt;&gt;"",frame_units!F97,NA())</f>
        <v/>
      </c>
    </row>
    <row r="101">
      <c r="A101">
        <f>IF(replacements!A24="","",replacements!A24)</f>
        <v/>
      </c>
      <c r="B101">
        <f>IF(replacements!B24="","",replacements!B24)</f>
        <v/>
      </c>
      <c r="C101" s="13">
        <f>IF(replacements!C24="","",replacements!C24)</f>
        <v/>
      </c>
      <c r="D101" s="7">
        <f>IF(replacements!D24="","",replacements!D24)</f>
        <v/>
      </c>
      <c r="E101">
        <f>IF(replacements!E24="","",replacements!E24)</f>
        <v/>
      </c>
      <c r="F101">
        <f>IF(replacements!F24="","",replacements!F24)</f>
        <v/>
      </c>
      <c r="U101">
        <f>IF(frame_units!E98&lt;&gt;"",frame_units!E98,NA())</f>
        <v/>
      </c>
      <c r="V101">
        <f>IF(frame_units!E98&lt;&gt;"",frame_units!F98,NA())</f>
        <v/>
      </c>
    </row>
    <row r="102">
      <c r="A102">
        <f>IF(replacements!A25="","",replacements!A25)</f>
        <v/>
      </c>
      <c r="B102">
        <f>IF(replacements!B25="","",replacements!B25)</f>
        <v/>
      </c>
      <c r="C102" s="13">
        <f>IF(replacements!C25="","",replacements!C25)</f>
        <v/>
      </c>
      <c r="D102" s="7">
        <f>IF(replacements!D25="","",replacements!D25)</f>
        <v/>
      </c>
      <c r="E102">
        <f>IF(replacements!E25="","",replacements!E25)</f>
        <v/>
      </c>
      <c r="F102">
        <f>IF(replacements!F25="","",replacements!F25)</f>
        <v/>
      </c>
      <c r="U102">
        <f>IF(frame_units!E99&lt;&gt;"",frame_units!E99,NA())</f>
        <v/>
      </c>
      <c r="V102">
        <f>IF(frame_units!E99&lt;&gt;"",frame_units!F99,NA())</f>
        <v/>
      </c>
    </row>
    <row r="103">
      <c r="A103">
        <f>IF(replacements!A26="","",replacements!A26)</f>
        <v/>
      </c>
      <c r="B103">
        <f>IF(replacements!B26="","",replacements!B26)</f>
        <v/>
      </c>
      <c r="C103" s="13">
        <f>IF(replacements!C26="","",replacements!C26)</f>
        <v/>
      </c>
      <c r="D103" s="7">
        <f>IF(replacements!D26="","",replacements!D26)</f>
        <v/>
      </c>
      <c r="E103">
        <f>IF(replacements!E26="","",replacements!E26)</f>
        <v/>
      </c>
      <c r="F103">
        <f>IF(replacements!F26="","",replacements!F26)</f>
        <v/>
      </c>
      <c r="U103">
        <f>IF(frame_units!E100&lt;&gt;"",frame_units!E100,NA())</f>
        <v/>
      </c>
      <c r="V103">
        <f>IF(frame_units!E100&lt;&gt;"",frame_units!F100,NA())</f>
        <v/>
      </c>
    </row>
    <row r="104">
      <c r="A104">
        <f>IF(replacements!A27="","",replacements!A27)</f>
        <v/>
      </c>
      <c r="B104">
        <f>IF(replacements!B27="","",replacements!B27)</f>
        <v/>
      </c>
      <c r="C104" s="13">
        <f>IF(replacements!C27="","",replacements!C27)</f>
        <v/>
      </c>
      <c r="D104" s="7">
        <f>IF(replacements!D27="","",replacements!D27)</f>
        <v/>
      </c>
      <c r="E104">
        <f>IF(replacements!E27="","",replacements!E27)</f>
        <v/>
      </c>
      <c r="F104">
        <f>IF(replacements!F27="","",replacements!F27)</f>
        <v/>
      </c>
      <c r="U104">
        <f>IF(frame_units!E101&lt;&gt;"",frame_units!E101,NA())</f>
        <v/>
      </c>
      <c r="V104">
        <f>IF(frame_units!E101&lt;&gt;"",frame_units!F101,NA())</f>
        <v/>
      </c>
    </row>
    <row r="105">
      <c r="A105">
        <f>IF(replacements!A28="","",replacements!A28)</f>
        <v/>
      </c>
      <c r="B105">
        <f>IF(replacements!B28="","",replacements!B28)</f>
        <v/>
      </c>
      <c r="C105" s="13">
        <f>IF(replacements!C28="","",replacements!C28)</f>
        <v/>
      </c>
      <c r="D105" s="7">
        <f>IF(replacements!D28="","",replacements!D28)</f>
        <v/>
      </c>
      <c r="E105">
        <f>IF(replacements!E28="","",replacements!E28)</f>
        <v/>
      </c>
      <c r="F105">
        <f>IF(replacements!F28="","",replacements!F28)</f>
        <v/>
      </c>
      <c r="U105">
        <f>IF(frame_units!E102&lt;&gt;"",frame_units!E102,NA())</f>
        <v/>
      </c>
      <c r="V105">
        <f>IF(frame_units!E102&lt;&gt;"",frame_units!F102,NA())</f>
        <v/>
      </c>
    </row>
    <row r="106">
      <c r="A106">
        <f>IF(replacements!A29="","",replacements!A29)</f>
        <v/>
      </c>
      <c r="B106">
        <f>IF(replacements!B29="","",replacements!B29)</f>
        <v/>
      </c>
      <c r="C106" s="13">
        <f>IF(replacements!C29="","",replacements!C29)</f>
        <v/>
      </c>
      <c r="D106" s="7">
        <f>IF(replacements!D29="","",replacements!D29)</f>
        <v/>
      </c>
      <c r="E106">
        <f>IF(replacements!E29="","",replacements!E29)</f>
        <v/>
      </c>
      <c r="F106">
        <f>IF(replacements!F29="","",replacements!F29)</f>
        <v/>
      </c>
      <c r="U106">
        <f>IF(frame_units!E103&lt;&gt;"",frame_units!E103,NA())</f>
        <v/>
      </c>
      <c r="V106">
        <f>IF(frame_units!E103&lt;&gt;"",frame_units!F103,NA())</f>
        <v/>
      </c>
    </row>
    <row r="107">
      <c r="A107">
        <f>IF(replacements!A30="","",replacements!A30)</f>
        <v/>
      </c>
      <c r="B107">
        <f>IF(replacements!B30="","",replacements!B30)</f>
        <v/>
      </c>
      <c r="C107" s="13">
        <f>IF(replacements!C30="","",replacements!C30)</f>
        <v/>
      </c>
      <c r="D107" s="7">
        <f>IF(replacements!D30="","",replacements!D30)</f>
        <v/>
      </c>
      <c r="E107">
        <f>IF(replacements!E30="","",replacements!E30)</f>
        <v/>
      </c>
      <c r="F107">
        <f>IF(replacements!F30="","",replacements!F30)</f>
        <v/>
      </c>
      <c r="U107">
        <f>IF(frame_units!E104&lt;&gt;"",frame_units!E104,NA())</f>
        <v/>
      </c>
      <c r="V107">
        <f>IF(frame_units!E104&lt;&gt;"",frame_units!F104,NA())</f>
        <v/>
      </c>
    </row>
    <row r="108">
      <c r="A108">
        <f>IF(replacements!A31="","",replacements!A31)</f>
        <v/>
      </c>
      <c r="B108">
        <f>IF(replacements!B31="","",replacements!B31)</f>
        <v/>
      </c>
      <c r="C108" s="13">
        <f>IF(replacements!C31="","",replacements!C31)</f>
        <v/>
      </c>
      <c r="D108" s="7">
        <f>IF(replacements!D31="","",replacements!D31)</f>
        <v/>
      </c>
      <c r="E108">
        <f>IF(replacements!E31="","",replacements!E31)</f>
        <v/>
      </c>
      <c r="F108">
        <f>IF(replacements!F31="","",replacements!F31)</f>
        <v/>
      </c>
      <c r="U108">
        <f>IF(frame_units!E105&lt;&gt;"",frame_units!E105,NA())</f>
        <v/>
      </c>
      <c r="V108">
        <f>IF(frame_units!E105&lt;&gt;"",frame_units!F105,NA())</f>
        <v/>
      </c>
    </row>
    <row r="109">
      <c r="U109">
        <f>IF(frame_units!E106&lt;&gt;"",frame_units!E106,NA())</f>
        <v/>
      </c>
      <c r="V109">
        <f>IF(frame_units!E106&lt;&gt;"",frame_units!F106,NA())</f>
        <v/>
      </c>
    </row>
    <row r="110">
      <c r="A110" s="3" t="inlineStr">
        <is>
          <t>Units or cells (frame_units.csv, first 60 rows; the file holds all)</t>
        </is>
      </c>
      <c r="U110">
        <f>IF(frame_units!E107&lt;&gt;"",frame_units!E107,NA())</f>
        <v/>
      </c>
      <c r="V110">
        <f>IF(frame_units!E107&lt;&gt;"",frame_units!F107,NA())</f>
        <v/>
      </c>
    </row>
    <row r="111">
      <c r="A111" s="6" t="inlineStr">
        <is>
          <t>unit_id</t>
        </is>
      </c>
      <c r="B111" s="6" t="inlineStr">
        <is>
          <t>stratum</t>
        </is>
      </c>
      <c r="C111" s="6" t="inlineStr">
        <is>
          <t>unit</t>
        </is>
      </c>
      <c r="D111" s="6" t="inlineStr">
        <is>
          <t>size</t>
        </is>
      </c>
      <c r="E111" s="6" t="inlineStr">
        <is>
          <t>x</t>
        </is>
      </c>
      <c r="F111" s="6" t="inlineStr">
        <is>
          <t>y</t>
        </is>
      </c>
      <c r="G111" s="6" t="inlineStr">
        <is>
          <t>flag</t>
        </is>
      </c>
      <c r="U111">
        <f>IF(frame_units!E108&lt;&gt;"",frame_units!E108,NA())</f>
        <v/>
      </c>
      <c r="V111">
        <f>IF(frame_units!E108&lt;&gt;"",frame_units!F108,NA())</f>
        <v/>
      </c>
    </row>
    <row r="112">
      <c r="A112">
        <f>IF(frame_units!A2="","",frame_units!A2)</f>
        <v/>
      </c>
      <c r="B112">
        <f>IF(frame_units!B2="","",frame_units!B2)</f>
        <v/>
      </c>
      <c r="C112">
        <f>IF(frame_units!C2="","",frame_units!C2)</f>
        <v/>
      </c>
      <c r="D112" s="7">
        <f>IF(frame_units!D2="","",frame_units!D2)</f>
        <v/>
      </c>
      <c r="E112" s="7">
        <f>IF(frame_units!E2="","",frame_units!E2)</f>
        <v/>
      </c>
      <c r="F112" s="7">
        <f>IF(frame_units!F2="","",frame_units!F2)</f>
        <v/>
      </c>
      <c r="G112">
        <f>IF(frame_units!G2="","",frame_units!G2)</f>
        <v/>
      </c>
      <c r="U112">
        <f>IF(frame_units!E109&lt;&gt;"",frame_units!E109,NA())</f>
        <v/>
      </c>
      <c r="V112">
        <f>IF(frame_units!E109&lt;&gt;"",frame_units!F109,NA())</f>
        <v/>
      </c>
    </row>
    <row r="113">
      <c r="A113">
        <f>IF(frame_units!A3="","",frame_units!A3)</f>
        <v/>
      </c>
      <c r="B113">
        <f>IF(frame_units!B3="","",frame_units!B3)</f>
        <v/>
      </c>
      <c r="C113">
        <f>IF(frame_units!C3="","",frame_units!C3)</f>
        <v/>
      </c>
      <c r="D113" s="7">
        <f>IF(frame_units!D3="","",frame_units!D3)</f>
        <v/>
      </c>
      <c r="E113" s="7">
        <f>IF(frame_units!E3="","",frame_units!E3)</f>
        <v/>
      </c>
      <c r="F113" s="7">
        <f>IF(frame_units!F3="","",frame_units!F3)</f>
        <v/>
      </c>
      <c r="G113">
        <f>IF(frame_units!G3="","",frame_units!G3)</f>
        <v/>
      </c>
      <c r="U113">
        <f>IF(frame_units!E110&lt;&gt;"",frame_units!E110,NA())</f>
        <v/>
      </c>
      <c r="V113">
        <f>IF(frame_units!E110&lt;&gt;"",frame_units!F110,NA())</f>
        <v/>
      </c>
    </row>
    <row r="114">
      <c r="A114">
        <f>IF(frame_units!A4="","",frame_units!A4)</f>
        <v/>
      </c>
      <c r="B114">
        <f>IF(frame_units!B4="","",frame_units!B4)</f>
        <v/>
      </c>
      <c r="C114">
        <f>IF(frame_units!C4="","",frame_units!C4)</f>
        <v/>
      </c>
      <c r="D114" s="7">
        <f>IF(frame_units!D4="","",frame_units!D4)</f>
        <v/>
      </c>
      <c r="E114" s="7">
        <f>IF(frame_units!E4="","",frame_units!E4)</f>
        <v/>
      </c>
      <c r="F114" s="7">
        <f>IF(frame_units!F4="","",frame_units!F4)</f>
        <v/>
      </c>
      <c r="G114">
        <f>IF(frame_units!G4="","",frame_units!G4)</f>
        <v/>
      </c>
      <c r="U114">
        <f>IF(frame_units!E111&lt;&gt;"",frame_units!E111,NA())</f>
        <v/>
      </c>
      <c r="V114">
        <f>IF(frame_units!E111&lt;&gt;"",frame_units!F111,NA())</f>
        <v/>
      </c>
    </row>
    <row r="115">
      <c r="A115">
        <f>IF(frame_units!A5="","",frame_units!A5)</f>
        <v/>
      </c>
      <c r="B115">
        <f>IF(frame_units!B5="","",frame_units!B5)</f>
        <v/>
      </c>
      <c r="C115">
        <f>IF(frame_units!C5="","",frame_units!C5)</f>
        <v/>
      </c>
      <c r="D115" s="7">
        <f>IF(frame_units!D5="","",frame_units!D5)</f>
        <v/>
      </c>
      <c r="E115" s="7">
        <f>IF(frame_units!E5="","",frame_units!E5)</f>
        <v/>
      </c>
      <c r="F115" s="7">
        <f>IF(frame_units!F5="","",frame_units!F5)</f>
        <v/>
      </c>
      <c r="G115">
        <f>IF(frame_units!G5="","",frame_units!G5)</f>
        <v/>
      </c>
      <c r="U115">
        <f>IF(frame_units!E112&lt;&gt;"",frame_units!E112,NA())</f>
        <v/>
      </c>
      <c r="V115">
        <f>IF(frame_units!E112&lt;&gt;"",frame_units!F112,NA())</f>
        <v/>
      </c>
    </row>
    <row r="116">
      <c r="A116">
        <f>IF(frame_units!A6="","",frame_units!A6)</f>
        <v/>
      </c>
      <c r="B116">
        <f>IF(frame_units!B6="","",frame_units!B6)</f>
        <v/>
      </c>
      <c r="C116">
        <f>IF(frame_units!C6="","",frame_units!C6)</f>
        <v/>
      </c>
      <c r="D116" s="7">
        <f>IF(frame_units!D6="","",frame_units!D6)</f>
        <v/>
      </c>
      <c r="E116" s="7">
        <f>IF(frame_units!E6="","",frame_units!E6)</f>
        <v/>
      </c>
      <c r="F116" s="7">
        <f>IF(frame_units!F6="","",frame_units!F6)</f>
        <v/>
      </c>
      <c r="G116">
        <f>IF(frame_units!G6="","",frame_units!G6)</f>
        <v/>
      </c>
      <c r="U116">
        <f>IF(frame_units!E113&lt;&gt;"",frame_units!E113,NA())</f>
        <v/>
      </c>
      <c r="V116">
        <f>IF(frame_units!E113&lt;&gt;"",frame_units!F113,NA())</f>
        <v/>
      </c>
    </row>
    <row r="117">
      <c r="A117">
        <f>IF(frame_units!A7="","",frame_units!A7)</f>
        <v/>
      </c>
      <c r="B117">
        <f>IF(frame_units!B7="","",frame_units!B7)</f>
        <v/>
      </c>
      <c r="C117">
        <f>IF(frame_units!C7="","",frame_units!C7)</f>
        <v/>
      </c>
      <c r="D117" s="7">
        <f>IF(frame_units!D7="","",frame_units!D7)</f>
        <v/>
      </c>
      <c r="E117" s="7">
        <f>IF(frame_units!E7="","",frame_units!E7)</f>
        <v/>
      </c>
      <c r="F117" s="7">
        <f>IF(frame_units!F7="","",frame_units!F7)</f>
        <v/>
      </c>
      <c r="G117">
        <f>IF(frame_units!G7="","",frame_units!G7)</f>
        <v/>
      </c>
      <c r="U117">
        <f>IF(frame_units!E114&lt;&gt;"",frame_units!E114,NA())</f>
        <v/>
      </c>
      <c r="V117">
        <f>IF(frame_units!E114&lt;&gt;"",frame_units!F114,NA())</f>
        <v/>
      </c>
    </row>
    <row r="118">
      <c r="A118">
        <f>IF(frame_units!A8="","",frame_units!A8)</f>
        <v/>
      </c>
      <c r="B118">
        <f>IF(frame_units!B8="","",frame_units!B8)</f>
        <v/>
      </c>
      <c r="C118">
        <f>IF(frame_units!C8="","",frame_units!C8)</f>
        <v/>
      </c>
      <c r="D118" s="7">
        <f>IF(frame_units!D8="","",frame_units!D8)</f>
        <v/>
      </c>
      <c r="E118" s="7">
        <f>IF(frame_units!E8="","",frame_units!E8)</f>
        <v/>
      </c>
      <c r="F118" s="7">
        <f>IF(frame_units!F8="","",frame_units!F8)</f>
        <v/>
      </c>
      <c r="G118">
        <f>IF(frame_units!G8="","",frame_units!G8)</f>
        <v/>
      </c>
      <c r="U118">
        <f>IF(frame_units!E115&lt;&gt;"",frame_units!E115,NA())</f>
        <v/>
      </c>
      <c r="V118">
        <f>IF(frame_units!E115&lt;&gt;"",frame_units!F115,NA())</f>
        <v/>
      </c>
    </row>
    <row r="119">
      <c r="A119">
        <f>IF(frame_units!A9="","",frame_units!A9)</f>
        <v/>
      </c>
      <c r="B119">
        <f>IF(frame_units!B9="","",frame_units!B9)</f>
        <v/>
      </c>
      <c r="C119">
        <f>IF(frame_units!C9="","",frame_units!C9)</f>
        <v/>
      </c>
      <c r="D119" s="7">
        <f>IF(frame_units!D9="","",frame_units!D9)</f>
        <v/>
      </c>
      <c r="E119" s="7">
        <f>IF(frame_units!E9="","",frame_units!E9)</f>
        <v/>
      </c>
      <c r="F119" s="7">
        <f>IF(frame_units!F9="","",frame_units!F9)</f>
        <v/>
      </c>
      <c r="G119">
        <f>IF(frame_units!G9="","",frame_units!G9)</f>
        <v/>
      </c>
      <c r="U119">
        <f>IF(frame_units!E116&lt;&gt;"",frame_units!E116,NA())</f>
        <v/>
      </c>
      <c r="V119">
        <f>IF(frame_units!E116&lt;&gt;"",frame_units!F116,NA())</f>
        <v/>
      </c>
    </row>
    <row r="120">
      <c r="A120">
        <f>IF(frame_units!A10="","",frame_units!A10)</f>
        <v/>
      </c>
      <c r="B120">
        <f>IF(frame_units!B10="","",frame_units!B10)</f>
        <v/>
      </c>
      <c r="C120">
        <f>IF(frame_units!C10="","",frame_units!C10)</f>
        <v/>
      </c>
      <c r="D120" s="7">
        <f>IF(frame_units!D10="","",frame_units!D10)</f>
        <v/>
      </c>
      <c r="E120" s="7">
        <f>IF(frame_units!E10="","",frame_units!E10)</f>
        <v/>
      </c>
      <c r="F120" s="7">
        <f>IF(frame_units!F10="","",frame_units!F10)</f>
        <v/>
      </c>
      <c r="G120">
        <f>IF(frame_units!G10="","",frame_units!G10)</f>
        <v/>
      </c>
      <c r="U120">
        <f>IF(frame_units!E117&lt;&gt;"",frame_units!E117,NA())</f>
        <v/>
      </c>
      <c r="V120">
        <f>IF(frame_units!E117&lt;&gt;"",frame_units!F117,NA())</f>
        <v/>
      </c>
    </row>
    <row r="121">
      <c r="A121">
        <f>IF(frame_units!A11="","",frame_units!A11)</f>
        <v/>
      </c>
      <c r="B121">
        <f>IF(frame_units!B11="","",frame_units!B11)</f>
        <v/>
      </c>
      <c r="C121">
        <f>IF(frame_units!C11="","",frame_units!C11)</f>
        <v/>
      </c>
      <c r="D121" s="7">
        <f>IF(frame_units!D11="","",frame_units!D11)</f>
        <v/>
      </c>
      <c r="E121" s="7">
        <f>IF(frame_units!E11="","",frame_units!E11)</f>
        <v/>
      </c>
      <c r="F121" s="7">
        <f>IF(frame_units!F11="","",frame_units!F11)</f>
        <v/>
      </c>
      <c r="G121">
        <f>IF(frame_units!G11="","",frame_units!G11)</f>
        <v/>
      </c>
      <c r="U121">
        <f>IF(frame_units!E118&lt;&gt;"",frame_units!E118,NA())</f>
        <v/>
      </c>
      <c r="V121">
        <f>IF(frame_units!E118&lt;&gt;"",frame_units!F118,NA())</f>
        <v/>
      </c>
    </row>
    <row r="122">
      <c r="A122">
        <f>IF(frame_units!A12="","",frame_units!A12)</f>
        <v/>
      </c>
      <c r="B122">
        <f>IF(frame_units!B12="","",frame_units!B12)</f>
        <v/>
      </c>
      <c r="C122">
        <f>IF(frame_units!C12="","",frame_units!C12)</f>
        <v/>
      </c>
      <c r="D122" s="7">
        <f>IF(frame_units!D12="","",frame_units!D12)</f>
        <v/>
      </c>
      <c r="E122" s="7">
        <f>IF(frame_units!E12="","",frame_units!E12)</f>
        <v/>
      </c>
      <c r="F122" s="7">
        <f>IF(frame_units!F12="","",frame_units!F12)</f>
        <v/>
      </c>
      <c r="G122">
        <f>IF(frame_units!G12="","",frame_units!G12)</f>
        <v/>
      </c>
      <c r="U122">
        <f>IF(frame_units!E119&lt;&gt;"",frame_units!E119,NA())</f>
        <v/>
      </c>
      <c r="V122">
        <f>IF(frame_units!E119&lt;&gt;"",frame_units!F119,NA())</f>
        <v/>
      </c>
    </row>
    <row r="123">
      <c r="A123">
        <f>IF(frame_units!A13="","",frame_units!A13)</f>
        <v/>
      </c>
      <c r="B123">
        <f>IF(frame_units!B13="","",frame_units!B13)</f>
        <v/>
      </c>
      <c r="C123">
        <f>IF(frame_units!C13="","",frame_units!C13)</f>
        <v/>
      </c>
      <c r="D123" s="7">
        <f>IF(frame_units!D13="","",frame_units!D13)</f>
        <v/>
      </c>
      <c r="E123" s="7">
        <f>IF(frame_units!E13="","",frame_units!E13)</f>
        <v/>
      </c>
      <c r="F123" s="7">
        <f>IF(frame_units!F13="","",frame_units!F13)</f>
        <v/>
      </c>
      <c r="G123">
        <f>IF(frame_units!G13="","",frame_units!G13)</f>
        <v/>
      </c>
      <c r="U123">
        <f>IF(frame_units!E120&lt;&gt;"",frame_units!E120,NA())</f>
        <v/>
      </c>
      <c r="V123">
        <f>IF(frame_units!E120&lt;&gt;"",frame_units!F120,NA())</f>
        <v/>
      </c>
    </row>
    <row r="124">
      <c r="A124">
        <f>IF(frame_units!A14="","",frame_units!A14)</f>
        <v/>
      </c>
      <c r="B124">
        <f>IF(frame_units!B14="","",frame_units!B14)</f>
        <v/>
      </c>
      <c r="C124">
        <f>IF(frame_units!C14="","",frame_units!C14)</f>
        <v/>
      </c>
      <c r="D124" s="7">
        <f>IF(frame_units!D14="","",frame_units!D14)</f>
        <v/>
      </c>
      <c r="E124" s="7">
        <f>IF(frame_units!E14="","",frame_units!E14)</f>
        <v/>
      </c>
      <c r="F124" s="7">
        <f>IF(frame_units!F14="","",frame_units!F14)</f>
        <v/>
      </c>
      <c r="G124">
        <f>IF(frame_units!G14="","",frame_units!G14)</f>
        <v/>
      </c>
      <c r="U124">
        <f>IF(frame_units!E121&lt;&gt;"",frame_units!E121,NA())</f>
        <v/>
      </c>
      <c r="V124">
        <f>IF(frame_units!E121&lt;&gt;"",frame_units!F121,NA())</f>
        <v/>
      </c>
    </row>
    <row r="125">
      <c r="A125">
        <f>IF(frame_units!A15="","",frame_units!A15)</f>
        <v/>
      </c>
      <c r="B125">
        <f>IF(frame_units!B15="","",frame_units!B15)</f>
        <v/>
      </c>
      <c r="C125">
        <f>IF(frame_units!C15="","",frame_units!C15)</f>
        <v/>
      </c>
      <c r="D125" s="7">
        <f>IF(frame_units!D15="","",frame_units!D15)</f>
        <v/>
      </c>
      <c r="E125" s="7">
        <f>IF(frame_units!E15="","",frame_units!E15)</f>
        <v/>
      </c>
      <c r="F125" s="7">
        <f>IF(frame_units!F15="","",frame_units!F15)</f>
        <v/>
      </c>
      <c r="G125">
        <f>IF(frame_units!G15="","",frame_units!G15)</f>
        <v/>
      </c>
      <c r="U125">
        <f>IF(frame_units!E122&lt;&gt;"",frame_units!E122,NA())</f>
        <v/>
      </c>
      <c r="V125">
        <f>IF(frame_units!E122&lt;&gt;"",frame_units!F122,NA())</f>
        <v/>
      </c>
    </row>
    <row r="126">
      <c r="A126">
        <f>IF(frame_units!A16="","",frame_units!A16)</f>
        <v/>
      </c>
      <c r="B126">
        <f>IF(frame_units!B16="","",frame_units!B16)</f>
        <v/>
      </c>
      <c r="C126">
        <f>IF(frame_units!C16="","",frame_units!C16)</f>
        <v/>
      </c>
      <c r="D126" s="7">
        <f>IF(frame_units!D16="","",frame_units!D16)</f>
        <v/>
      </c>
      <c r="E126" s="7">
        <f>IF(frame_units!E16="","",frame_units!E16)</f>
        <v/>
      </c>
      <c r="F126" s="7">
        <f>IF(frame_units!F16="","",frame_units!F16)</f>
        <v/>
      </c>
      <c r="G126">
        <f>IF(frame_units!G16="","",frame_units!G16)</f>
        <v/>
      </c>
      <c r="U126">
        <f>IF(frame_units!E123&lt;&gt;"",frame_units!E123,NA())</f>
        <v/>
      </c>
      <c r="V126">
        <f>IF(frame_units!E123&lt;&gt;"",frame_units!F123,NA())</f>
        <v/>
      </c>
    </row>
    <row r="127">
      <c r="A127">
        <f>IF(frame_units!A17="","",frame_units!A17)</f>
        <v/>
      </c>
      <c r="B127">
        <f>IF(frame_units!B17="","",frame_units!B17)</f>
        <v/>
      </c>
      <c r="C127">
        <f>IF(frame_units!C17="","",frame_units!C17)</f>
        <v/>
      </c>
      <c r="D127" s="7">
        <f>IF(frame_units!D17="","",frame_units!D17)</f>
        <v/>
      </c>
      <c r="E127" s="7">
        <f>IF(frame_units!E17="","",frame_units!E17)</f>
        <v/>
      </c>
      <c r="F127" s="7">
        <f>IF(frame_units!F17="","",frame_units!F17)</f>
        <v/>
      </c>
      <c r="G127">
        <f>IF(frame_units!G17="","",frame_units!G17)</f>
        <v/>
      </c>
      <c r="U127">
        <f>IF(frame_units!E124&lt;&gt;"",frame_units!E124,NA())</f>
        <v/>
      </c>
      <c r="V127">
        <f>IF(frame_units!E124&lt;&gt;"",frame_units!F124,NA())</f>
        <v/>
      </c>
    </row>
    <row r="128">
      <c r="A128">
        <f>IF(frame_units!A18="","",frame_units!A18)</f>
        <v/>
      </c>
      <c r="B128">
        <f>IF(frame_units!B18="","",frame_units!B18)</f>
        <v/>
      </c>
      <c r="C128">
        <f>IF(frame_units!C18="","",frame_units!C18)</f>
        <v/>
      </c>
      <c r="D128" s="7">
        <f>IF(frame_units!D18="","",frame_units!D18)</f>
        <v/>
      </c>
      <c r="E128" s="7">
        <f>IF(frame_units!E18="","",frame_units!E18)</f>
        <v/>
      </c>
      <c r="F128" s="7">
        <f>IF(frame_units!F18="","",frame_units!F18)</f>
        <v/>
      </c>
      <c r="G128">
        <f>IF(frame_units!G18="","",frame_units!G18)</f>
        <v/>
      </c>
      <c r="U128">
        <f>IF(frame_units!E125&lt;&gt;"",frame_units!E125,NA())</f>
        <v/>
      </c>
      <c r="V128">
        <f>IF(frame_units!E125&lt;&gt;"",frame_units!F125,NA())</f>
        <v/>
      </c>
    </row>
    <row r="129">
      <c r="A129">
        <f>IF(frame_units!A19="","",frame_units!A19)</f>
        <v/>
      </c>
      <c r="B129">
        <f>IF(frame_units!B19="","",frame_units!B19)</f>
        <v/>
      </c>
      <c r="C129">
        <f>IF(frame_units!C19="","",frame_units!C19)</f>
        <v/>
      </c>
      <c r="D129" s="7">
        <f>IF(frame_units!D19="","",frame_units!D19)</f>
        <v/>
      </c>
      <c r="E129" s="7">
        <f>IF(frame_units!E19="","",frame_units!E19)</f>
        <v/>
      </c>
      <c r="F129" s="7">
        <f>IF(frame_units!F19="","",frame_units!F19)</f>
        <v/>
      </c>
      <c r="G129">
        <f>IF(frame_units!G19="","",frame_units!G19)</f>
        <v/>
      </c>
      <c r="U129">
        <f>IF(frame_units!E126&lt;&gt;"",frame_units!E126,NA())</f>
        <v/>
      </c>
      <c r="V129">
        <f>IF(frame_units!E126&lt;&gt;"",frame_units!F126,NA())</f>
        <v/>
      </c>
    </row>
    <row r="130">
      <c r="A130">
        <f>IF(frame_units!A20="","",frame_units!A20)</f>
        <v/>
      </c>
      <c r="B130">
        <f>IF(frame_units!B20="","",frame_units!B20)</f>
        <v/>
      </c>
      <c r="C130">
        <f>IF(frame_units!C20="","",frame_units!C20)</f>
        <v/>
      </c>
      <c r="D130" s="7">
        <f>IF(frame_units!D20="","",frame_units!D20)</f>
        <v/>
      </c>
      <c r="E130" s="7">
        <f>IF(frame_units!E20="","",frame_units!E20)</f>
        <v/>
      </c>
      <c r="F130" s="7">
        <f>IF(frame_units!F20="","",frame_units!F20)</f>
        <v/>
      </c>
      <c r="G130">
        <f>IF(frame_units!G20="","",frame_units!G20)</f>
        <v/>
      </c>
      <c r="U130">
        <f>IF(frame_units!E127&lt;&gt;"",frame_units!E127,NA())</f>
        <v/>
      </c>
      <c r="V130">
        <f>IF(frame_units!E127&lt;&gt;"",frame_units!F127,NA())</f>
        <v/>
      </c>
    </row>
    <row r="131">
      <c r="A131">
        <f>IF(frame_units!A21="","",frame_units!A21)</f>
        <v/>
      </c>
      <c r="B131">
        <f>IF(frame_units!B21="","",frame_units!B21)</f>
        <v/>
      </c>
      <c r="C131">
        <f>IF(frame_units!C21="","",frame_units!C21)</f>
        <v/>
      </c>
      <c r="D131" s="7">
        <f>IF(frame_units!D21="","",frame_units!D21)</f>
        <v/>
      </c>
      <c r="E131" s="7">
        <f>IF(frame_units!E21="","",frame_units!E21)</f>
        <v/>
      </c>
      <c r="F131" s="7">
        <f>IF(frame_units!F21="","",frame_units!F21)</f>
        <v/>
      </c>
      <c r="G131">
        <f>IF(frame_units!G21="","",frame_units!G21)</f>
        <v/>
      </c>
      <c r="U131">
        <f>IF(frame_units!E128&lt;&gt;"",frame_units!E128,NA())</f>
        <v/>
      </c>
      <c r="V131">
        <f>IF(frame_units!E128&lt;&gt;"",frame_units!F128,NA())</f>
        <v/>
      </c>
    </row>
    <row r="132">
      <c r="A132">
        <f>IF(frame_units!A22="","",frame_units!A22)</f>
        <v/>
      </c>
      <c r="B132">
        <f>IF(frame_units!B22="","",frame_units!B22)</f>
        <v/>
      </c>
      <c r="C132">
        <f>IF(frame_units!C22="","",frame_units!C22)</f>
        <v/>
      </c>
      <c r="D132" s="7">
        <f>IF(frame_units!D22="","",frame_units!D22)</f>
        <v/>
      </c>
      <c r="E132" s="7">
        <f>IF(frame_units!E22="","",frame_units!E22)</f>
        <v/>
      </c>
      <c r="F132" s="7">
        <f>IF(frame_units!F22="","",frame_units!F22)</f>
        <v/>
      </c>
      <c r="G132">
        <f>IF(frame_units!G22="","",frame_units!G22)</f>
        <v/>
      </c>
      <c r="U132">
        <f>IF(frame_units!E129&lt;&gt;"",frame_units!E129,NA())</f>
        <v/>
      </c>
      <c r="V132">
        <f>IF(frame_units!E129&lt;&gt;"",frame_units!F129,NA())</f>
        <v/>
      </c>
    </row>
    <row r="133">
      <c r="A133">
        <f>IF(frame_units!A23="","",frame_units!A23)</f>
        <v/>
      </c>
      <c r="B133">
        <f>IF(frame_units!B23="","",frame_units!B23)</f>
        <v/>
      </c>
      <c r="C133">
        <f>IF(frame_units!C23="","",frame_units!C23)</f>
        <v/>
      </c>
      <c r="D133" s="7">
        <f>IF(frame_units!D23="","",frame_units!D23)</f>
        <v/>
      </c>
      <c r="E133" s="7">
        <f>IF(frame_units!E23="","",frame_units!E23)</f>
        <v/>
      </c>
      <c r="F133" s="7">
        <f>IF(frame_units!F23="","",frame_units!F23)</f>
        <v/>
      </c>
      <c r="G133">
        <f>IF(frame_units!G23="","",frame_units!G23)</f>
        <v/>
      </c>
      <c r="U133">
        <f>IF(frame_units!E130&lt;&gt;"",frame_units!E130,NA())</f>
        <v/>
      </c>
      <c r="V133">
        <f>IF(frame_units!E130&lt;&gt;"",frame_units!F130,NA())</f>
        <v/>
      </c>
    </row>
    <row r="134">
      <c r="A134">
        <f>IF(frame_units!A24="","",frame_units!A24)</f>
        <v/>
      </c>
      <c r="B134">
        <f>IF(frame_units!B24="","",frame_units!B24)</f>
        <v/>
      </c>
      <c r="C134">
        <f>IF(frame_units!C24="","",frame_units!C24)</f>
        <v/>
      </c>
      <c r="D134" s="7">
        <f>IF(frame_units!D24="","",frame_units!D24)</f>
        <v/>
      </c>
      <c r="E134" s="7">
        <f>IF(frame_units!E24="","",frame_units!E24)</f>
        <v/>
      </c>
      <c r="F134" s="7">
        <f>IF(frame_units!F24="","",frame_units!F24)</f>
        <v/>
      </c>
      <c r="G134">
        <f>IF(frame_units!G24="","",frame_units!G24)</f>
        <v/>
      </c>
      <c r="U134">
        <f>IF(frame_units!E131&lt;&gt;"",frame_units!E131,NA())</f>
        <v/>
      </c>
      <c r="V134">
        <f>IF(frame_units!E131&lt;&gt;"",frame_units!F131,NA())</f>
        <v/>
      </c>
    </row>
    <row r="135">
      <c r="A135">
        <f>IF(frame_units!A25="","",frame_units!A25)</f>
        <v/>
      </c>
      <c r="B135">
        <f>IF(frame_units!B25="","",frame_units!B25)</f>
        <v/>
      </c>
      <c r="C135">
        <f>IF(frame_units!C25="","",frame_units!C25)</f>
        <v/>
      </c>
      <c r="D135" s="7">
        <f>IF(frame_units!D25="","",frame_units!D25)</f>
        <v/>
      </c>
      <c r="E135" s="7">
        <f>IF(frame_units!E25="","",frame_units!E25)</f>
        <v/>
      </c>
      <c r="F135" s="7">
        <f>IF(frame_units!F25="","",frame_units!F25)</f>
        <v/>
      </c>
      <c r="G135">
        <f>IF(frame_units!G25="","",frame_units!G25)</f>
        <v/>
      </c>
      <c r="U135">
        <f>IF(frame_units!E132&lt;&gt;"",frame_units!E132,NA())</f>
        <v/>
      </c>
      <c r="V135">
        <f>IF(frame_units!E132&lt;&gt;"",frame_units!F132,NA())</f>
        <v/>
      </c>
    </row>
    <row r="136">
      <c r="A136">
        <f>IF(frame_units!A26="","",frame_units!A26)</f>
        <v/>
      </c>
      <c r="B136">
        <f>IF(frame_units!B26="","",frame_units!B26)</f>
        <v/>
      </c>
      <c r="C136">
        <f>IF(frame_units!C26="","",frame_units!C26)</f>
        <v/>
      </c>
      <c r="D136" s="7">
        <f>IF(frame_units!D26="","",frame_units!D26)</f>
        <v/>
      </c>
      <c r="E136" s="7">
        <f>IF(frame_units!E26="","",frame_units!E26)</f>
        <v/>
      </c>
      <c r="F136" s="7">
        <f>IF(frame_units!F26="","",frame_units!F26)</f>
        <v/>
      </c>
      <c r="G136">
        <f>IF(frame_units!G26="","",frame_units!G26)</f>
        <v/>
      </c>
      <c r="U136">
        <f>IF(frame_units!E133&lt;&gt;"",frame_units!E133,NA())</f>
        <v/>
      </c>
      <c r="V136">
        <f>IF(frame_units!E133&lt;&gt;"",frame_units!F133,NA())</f>
        <v/>
      </c>
    </row>
    <row r="137">
      <c r="A137">
        <f>IF(frame_units!A27="","",frame_units!A27)</f>
        <v/>
      </c>
      <c r="B137">
        <f>IF(frame_units!B27="","",frame_units!B27)</f>
        <v/>
      </c>
      <c r="C137">
        <f>IF(frame_units!C27="","",frame_units!C27)</f>
        <v/>
      </c>
      <c r="D137" s="7">
        <f>IF(frame_units!D27="","",frame_units!D27)</f>
        <v/>
      </c>
      <c r="E137" s="7">
        <f>IF(frame_units!E27="","",frame_units!E27)</f>
        <v/>
      </c>
      <c r="F137" s="7">
        <f>IF(frame_units!F27="","",frame_units!F27)</f>
        <v/>
      </c>
      <c r="G137">
        <f>IF(frame_units!G27="","",frame_units!G27)</f>
        <v/>
      </c>
      <c r="U137">
        <f>IF(frame_units!E134&lt;&gt;"",frame_units!E134,NA())</f>
        <v/>
      </c>
      <c r="V137">
        <f>IF(frame_units!E134&lt;&gt;"",frame_units!F134,NA())</f>
        <v/>
      </c>
    </row>
    <row r="138">
      <c r="A138">
        <f>IF(frame_units!A28="","",frame_units!A28)</f>
        <v/>
      </c>
      <c r="B138">
        <f>IF(frame_units!B28="","",frame_units!B28)</f>
        <v/>
      </c>
      <c r="C138">
        <f>IF(frame_units!C28="","",frame_units!C28)</f>
        <v/>
      </c>
      <c r="D138" s="7">
        <f>IF(frame_units!D28="","",frame_units!D28)</f>
        <v/>
      </c>
      <c r="E138" s="7">
        <f>IF(frame_units!E28="","",frame_units!E28)</f>
        <v/>
      </c>
      <c r="F138" s="7">
        <f>IF(frame_units!F28="","",frame_units!F28)</f>
        <v/>
      </c>
      <c r="G138">
        <f>IF(frame_units!G28="","",frame_units!G28)</f>
        <v/>
      </c>
      <c r="U138">
        <f>IF(frame_units!E135&lt;&gt;"",frame_units!E135,NA())</f>
        <v/>
      </c>
      <c r="V138">
        <f>IF(frame_units!E135&lt;&gt;"",frame_units!F135,NA())</f>
        <v/>
      </c>
    </row>
    <row r="139">
      <c r="A139">
        <f>IF(frame_units!A29="","",frame_units!A29)</f>
        <v/>
      </c>
      <c r="B139">
        <f>IF(frame_units!B29="","",frame_units!B29)</f>
        <v/>
      </c>
      <c r="C139">
        <f>IF(frame_units!C29="","",frame_units!C29)</f>
        <v/>
      </c>
      <c r="D139" s="7">
        <f>IF(frame_units!D29="","",frame_units!D29)</f>
        <v/>
      </c>
      <c r="E139" s="7">
        <f>IF(frame_units!E29="","",frame_units!E29)</f>
        <v/>
      </c>
      <c r="F139" s="7">
        <f>IF(frame_units!F29="","",frame_units!F29)</f>
        <v/>
      </c>
      <c r="G139">
        <f>IF(frame_units!G29="","",frame_units!G29)</f>
        <v/>
      </c>
      <c r="U139">
        <f>IF(frame_units!E136&lt;&gt;"",frame_units!E136,NA())</f>
        <v/>
      </c>
      <c r="V139">
        <f>IF(frame_units!E136&lt;&gt;"",frame_units!F136,NA())</f>
        <v/>
      </c>
    </row>
    <row r="140">
      <c r="A140">
        <f>IF(frame_units!A30="","",frame_units!A30)</f>
        <v/>
      </c>
      <c r="B140">
        <f>IF(frame_units!B30="","",frame_units!B30)</f>
        <v/>
      </c>
      <c r="C140">
        <f>IF(frame_units!C30="","",frame_units!C30)</f>
        <v/>
      </c>
      <c r="D140" s="7">
        <f>IF(frame_units!D30="","",frame_units!D30)</f>
        <v/>
      </c>
      <c r="E140" s="7">
        <f>IF(frame_units!E30="","",frame_units!E30)</f>
        <v/>
      </c>
      <c r="F140" s="7">
        <f>IF(frame_units!F30="","",frame_units!F30)</f>
        <v/>
      </c>
      <c r="G140">
        <f>IF(frame_units!G30="","",frame_units!G30)</f>
        <v/>
      </c>
      <c r="U140">
        <f>IF(frame_units!E137&lt;&gt;"",frame_units!E137,NA())</f>
        <v/>
      </c>
      <c r="V140">
        <f>IF(frame_units!E137&lt;&gt;"",frame_units!F137,NA())</f>
        <v/>
      </c>
    </row>
    <row r="141">
      <c r="A141">
        <f>IF(frame_units!A31="","",frame_units!A31)</f>
        <v/>
      </c>
      <c r="B141">
        <f>IF(frame_units!B31="","",frame_units!B31)</f>
        <v/>
      </c>
      <c r="C141">
        <f>IF(frame_units!C31="","",frame_units!C31)</f>
        <v/>
      </c>
      <c r="D141" s="7">
        <f>IF(frame_units!D31="","",frame_units!D31)</f>
        <v/>
      </c>
      <c r="E141" s="7">
        <f>IF(frame_units!E31="","",frame_units!E31)</f>
        <v/>
      </c>
      <c r="F141" s="7">
        <f>IF(frame_units!F31="","",frame_units!F31)</f>
        <v/>
      </c>
      <c r="G141">
        <f>IF(frame_units!G31="","",frame_units!G31)</f>
        <v/>
      </c>
      <c r="U141">
        <f>IF(frame_units!E138&lt;&gt;"",frame_units!E138,NA())</f>
        <v/>
      </c>
      <c r="V141">
        <f>IF(frame_units!E138&lt;&gt;"",frame_units!F138,NA())</f>
        <v/>
      </c>
    </row>
    <row r="142">
      <c r="A142">
        <f>IF(frame_units!A32="","",frame_units!A32)</f>
        <v/>
      </c>
      <c r="B142">
        <f>IF(frame_units!B32="","",frame_units!B32)</f>
        <v/>
      </c>
      <c r="C142">
        <f>IF(frame_units!C32="","",frame_units!C32)</f>
        <v/>
      </c>
      <c r="D142" s="7">
        <f>IF(frame_units!D32="","",frame_units!D32)</f>
        <v/>
      </c>
      <c r="E142" s="7">
        <f>IF(frame_units!E32="","",frame_units!E32)</f>
        <v/>
      </c>
      <c r="F142" s="7">
        <f>IF(frame_units!F32="","",frame_units!F32)</f>
        <v/>
      </c>
      <c r="G142">
        <f>IF(frame_units!G32="","",frame_units!G32)</f>
        <v/>
      </c>
      <c r="U142">
        <f>IF(frame_units!E139&lt;&gt;"",frame_units!E139,NA())</f>
        <v/>
      </c>
      <c r="V142">
        <f>IF(frame_units!E139&lt;&gt;"",frame_units!F139,NA())</f>
        <v/>
      </c>
    </row>
    <row r="143">
      <c r="A143">
        <f>IF(frame_units!A33="","",frame_units!A33)</f>
        <v/>
      </c>
      <c r="B143">
        <f>IF(frame_units!B33="","",frame_units!B33)</f>
        <v/>
      </c>
      <c r="C143">
        <f>IF(frame_units!C33="","",frame_units!C33)</f>
        <v/>
      </c>
      <c r="D143" s="7">
        <f>IF(frame_units!D33="","",frame_units!D33)</f>
        <v/>
      </c>
      <c r="E143" s="7">
        <f>IF(frame_units!E33="","",frame_units!E33)</f>
        <v/>
      </c>
      <c r="F143" s="7">
        <f>IF(frame_units!F33="","",frame_units!F33)</f>
        <v/>
      </c>
      <c r="G143">
        <f>IF(frame_units!G33="","",frame_units!G33)</f>
        <v/>
      </c>
      <c r="U143">
        <f>IF(frame_units!E140&lt;&gt;"",frame_units!E140,NA())</f>
        <v/>
      </c>
      <c r="V143">
        <f>IF(frame_units!E140&lt;&gt;"",frame_units!F140,NA())</f>
        <v/>
      </c>
    </row>
    <row r="144">
      <c r="A144">
        <f>IF(frame_units!A34="","",frame_units!A34)</f>
        <v/>
      </c>
      <c r="B144">
        <f>IF(frame_units!B34="","",frame_units!B34)</f>
        <v/>
      </c>
      <c r="C144">
        <f>IF(frame_units!C34="","",frame_units!C34)</f>
        <v/>
      </c>
      <c r="D144" s="7">
        <f>IF(frame_units!D34="","",frame_units!D34)</f>
        <v/>
      </c>
      <c r="E144" s="7">
        <f>IF(frame_units!E34="","",frame_units!E34)</f>
        <v/>
      </c>
      <c r="F144" s="7">
        <f>IF(frame_units!F34="","",frame_units!F34)</f>
        <v/>
      </c>
      <c r="G144">
        <f>IF(frame_units!G34="","",frame_units!G34)</f>
        <v/>
      </c>
      <c r="U144">
        <f>IF(frame_units!E141&lt;&gt;"",frame_units!E141,NA())</f>
        <v/>
      </c>
      <c r="V144">
        <f>IF(frame_units!E141&lt;&gt;"",frame_units!F141,NA())</f>
        <v/>
      </c>
    </row>
    <row r="145">
      <c r="A145">
        <f>IF(frame_units!A35="","",frame_units!A35)</f>
        <v/>
      </c>
      <c r="B145">
        <f>IF(frame_units!B35="","",frame_units!B35)</f>
        <v/>
      </c>
      <c r="C145">
        <f>IF(frame_units!C35="","",frame_units!C35)</f>
        <v/>
      </c>
      <c r="D145" s="7">
        <f>IF(frame_units!D35="","",frame_units!D35)</f>
        <v/>
      </c>
      <c r="E145" s="7">
        <f>IF(frame_units!E35="","",frame_units!E35)</f>
        <v/>
      </c>
      <c r="F145" s="7">
        <f>IF(frame_units!F35="","",frame_units!F35)</f>
        <v/>
      </c>
      <c r="G145">
        <f>IF(frame_units!G35="","",frame_units!G35)</f>
        <v/>
      </c>
      <c r="U145">
        <f>IF(frame_units!E142&lt;&gt;"",frame_units!E142,NA())</f>
        <v/>
      </c>
      <c r="V145">
        <f>IF(frame_units!E142&lt;&gt;"",frame_units!F142,NA())</f>
        <v/>
      </c>
    </row>
    <row r="146">
      <c r="A146">
        <f>IF(frame_units!A36="","",frame_units!A36)</f>
        <v/>
      </c>
      <c r="B146">
        <f>IF(frame_units!B36="","",frame_units!B36)</f>
        <v/>
      </c>
      <c r="C146">
        <f>IF(frame_units!C36="","",frame_units!C36)</f>
        <v/>
      </c>
      <c r="D146" s="7">
        <f>IF(frame_units!D36="","",frame_units!D36)</f>
        <v/>
      </c>
      <c r="E146" s="7">
        <f>IF(frame_units!E36="","",frame_units!E36)</f>
        <v/>
      </c>
      <c r="F146" s="7">
        <f>IF(frame_units!F36="","",frame_units!F36)</f>
        <v/>
      </c>
      <c r="G146">
        <f>IF(frame_units!G36="","",frame_units!G36)</f>
        <v/>
      </c>
      <c r="U146">
        <f>IF(frame_units!E143&lt;&gt;"",frame_units!E143,NA())</f>
        <v/>
      </c>
      <c r="V146">
        <f>IF(frame_units!E143&lt;&gt;"",frame_units!F143,NA())</f>
        <v/>
      </c>
    </row>
    <row r="147">
      <c r="A147">
        <f>IF(frame_units!A37="","",frame_units!A37)</f>
        <v/>
      </c>
      <c r="B147">
        <f>IF(frame_units!B37="","",frame_units!B37)</f>
        <v/>
      </c>
      <c r="C147">
        <f>IF(frame_units!C37="","",frame_units!C37)</f>
        <v/>
      </c>
      <c r="D147" s="7">
        <f>IF(frame_units!D37="","",frame_units!D37)</f>
        <v/>
      </c>
      <c r="E147" s="7">
        <f>IF(frame_units!E37="","",frame_units!E37)</f>
        <v/>
      </c>
      <c r="F147" s="7">
        <f>IF(frame_units!F37="","",frame_units!F37)</f>
        <v/>
      </c>
      <c r="G147">
        <f>IF(frame_units!G37="","",frame_units!G37)</f>
        <v/>
      </c>
      <c r="U147">
        <f>IF(frame_units!E144&lt;&gt;"",frame_units!E144,NA())</f>
        <v/>
      </c>
      <c r="V147">
        <f>IF(frame_units!E144&lt;&gt;"",frame_units!F144,NA())</f>
        <v/>
      </c>
    </row>
    <row r="148">
      <c r="A148">
        <f>IF(frame_units!A38="","",frame_units!A38)</f>
        <v/>
      </c>
      <c r="B148">
        <f>IF(frame_units!B38="","",frame_units!B38)</f>
        <v/>
      </c>
      <c r="C148">
        <f>IF(frame_units!C38="","",frame_units!C38)</f>
        <v/>
      </c>
      <c r="D148" s="7">
        <f>IF(frame_units!D38="","",frame_units!D38)</f>
        <v/>
      </c>
      <c r="E148" s="7">
        <f>IF(frame_units!E38="","",frame_units!E38)</f>
        <v/>
      </c>
      <c r="F148" s="7">
        <f>IF(frame_units!F38="","",frame_units!F38)</f>
        <v/>
      </c>
      <c r="G148">
        <f>IF(frame_units!G38="","",frame_units!G38)</f>
        <v/>
      </c>
      <c r="U148">
        <f>IF(frame_units!E145&lt;&gt;"",frame_units!E145,NA())</f>
        <v/>
      </c>
      <c r="V148">
        <f>IF(frame_units!E145&lt;&gt;"",frame_units!F145,NA())</f>
        <v/>
      </c>
    </row>
    <row r="149">
      <c r="A149">
        <f>IF(frame_units!A39="","",frame_units!A39)</f>
        <v/>
      </c>
      <c r="B149">
        <f>IF(frame_units!B39="","",frame_units!B39)</f>
        <v/>
      </c>
      <c r="C149">
        <f>IF(frame_units!C39="","",frame_units!C39)</f>
        <v/>
      </c>
      <c r="D149" s="7">
        <f>IF(frame_units!D39="","",frame_units!D39)</f>
        <v/>
      </c>
      <c r="E149" s="7">
        <f>IF(frame_units!E39="","",frame_units!E39)</f>
        <v/>
      </c>
      <c r="F149" s="7">
        <f>IF(frame_units!F39="","",frame_units!F39)</f>
        <v/>
      </c>
      <c r="G149">
        <f>IF(frame_units!G39="","",frame_units!G39)</f>
        <v/>
      </c>
      <c r="U149">
        <f>IF(frame_units!E146&lt;&gt;"",frame_units!E146,NA())</f>
        <v/>
      </c>
      <c r="V149">
        <f>IF(frame_units!E146&lt;&gt;"",frame_units!F146,NA())</f>
        <v/>
      </c>
    </row>
    <row r="150">
      <c r="A150">
        <f>IF(frame_units!A40="","",frame_units!A40)</f>
        <v/>
      </c>
      <c r="B150">
        <f>IF(frame_units!B40="","",frame_units!B40)</f>
        <v/>
      </c>
      <c r="C150">
        <f>IF(frame_units!C40="","",frame_units!C40)</f>
        <v/>
      </c>
      <c r="D150" s="7">
        <f>IF(frame_units!D40="","",frame_units!D40)</f>
        <v/>
      </c>
      <c r="E150" s="7">
        <f>IF(frame_units!E40="","",frame_units!E40)</f>
        <v/>
      </c>
      <c r="F150" s="7">
        <f>IF(frame_units!F40="","",frame_units!F40)</f>
        <v/>
      </c>
      <c r="G150">
        <f>IF(frame_units!G40="","",frame_units!G40)</f>
        <v/>
      </c>
      <c r="U150">
        <f>IF(frame_units!E147&lt;&gt;"",frame_units!E147,NA())</f>
        <v/>
      </c>
      <c r="V150">
        <f>IF(frame_units!E147&lt;&gt;"",frame_units!F147,NA())</f>
        <v/>
      </c>
    </row>
    <row r="151">
      <c r="A151">
        <f>IF(frame_units!A41="","",frame_units!A41)</f>
        <v/>
      </c>
      <c r="B151">
        <f>IF(frame_units!B41="","",frame_units!B41)</f>
        <v/>
      </c>
      <c r="C151">
        <f>IF(frame_units!C41="","",frame_units!C41)</f>
        <v/>
      </c>
      <c r="D151" s="7">
        <f>IF(frame_units!D41="","",frame_units!D41)</f>
        <v/>
      </c>
      <c r="E151" s="7">
        <f>IF(frame_units!E41="","",frame_units!E41)</f>
        <v/>
      </c>
      <c r="F151" s="7">
        <f>IF(frame_units!F41="","",frame_units!F41)</f>
        <v/>
      </c>
      <c r="G151">
        <f>IF(frame_units!G41="","",frame_units!G41)</f>
        <v/>
      </c>
      <c r="U151">
        <f>IF(frame_units!E148&lt;&gt;"",frame_units!E148,NA())</f>
        <v/>
      </c>
      <c r="V151">
        <f>IF(frame_units!E148&lt;&gt;"",frame_units!F148,NA())</f>
        <v/>
      </c>
    </row>
    <row r="152">
      <c r="A152">
        <f>IF(frame_units!A42="","",frame_units!A42)</f>
        <v/>
      </c>
      <c r="B152">
        <f>IF(frame_units!B42="","",frame_units!B42)</f>
        <v/>
      </c>
      <c r="C152">
        <f>IF(frame_units!C42="","",frame_units!C42)</f>
        <v/>
      </c>
      <c r="D152" s="7">
        <f>IF(frame_units!D42="","",frame_units!D42)</f>
        <v/>
      </c>
      <c r="E152" s="7">
        <f>IF(frame_units!E42="","",frame_units!E42)</f>
        <v/>
      </c>
      <c r="F152" s="7">
        <f>IF(frame_units!F42="","",frame_units!F42)</f>
        <v/>
      </c>
      <c r="G152">
        <f>IF(frame_units!G42="","",frame_units!G42)</f>
        <v/>
      </c>
      <c r="U152">
        <f>IF(frame_units!E149&lt;&gt;"",frame_units!E149,NA())</f>
        <v/>
      </c>
      <c r="V152">
        <f>IF(frame_units!E149&lt;&gt;"",frame_units!F149,NA())</f>
        <v/>
      </c>
    </row>
    <row r="153">
      <c r="A153">
        <f>IF(frame_units!A43="","",frame_units!A43)</f>
        <v/>
      </c>
      <c r="B153">
        <f>IF(frame_units!B43="","",frame_units!B43)</f>
        <v/>
      </c>
      <c r="C153">
        <f>IF(frame_units!C43="","",frame_units!C43)</f>
        <v/>
      </c>
      <c r="D153" s="7">
        <f>IF(frame_units!D43="","",frame_units!D43)</f>
        <v/>
      </c>
      <c r="E153" s="7">
        <f>IF(frame_units!E43="","",frame_units!E43)</f>
        <v/>
      </c>
      <c r="F153" s="7">
        <f>IF(frame_units!F43="","",frame_units!F43)</f>
        <v/>
      </c>
      <c r="G153">
        <f>IF(frame_units!G43="","",frame_units!G43)</f>
        <v/>
      </c>
      <c r="U153">
        <f>IF(frame_units!E150&lt;&gt;"",frame_units!E150,NA())</f>
        <v/>
      </c>
      <c r="V153">
        <f>IF(frame_units!E150&lt;&gt;"",frame_units!F150,NA())</f>
        <v/>
      </c>
    </row>
    <row r="154">
      <c r="A154">
        <f>IF(frame_units!A44="","",frame_units!A44)</f>
        <v/>
      </c>
      <c r="B154">
        <f>IF(frame_units!B44="","",frame_units!B44)</f>
        <v/>
      </c>
      <c r="C154">
        <f>IF(frame_units!C44="","",frame_units!C44)</f>
        <v/>
      </c>
      <c r="D154" s="7">
        <f>IF(frame_units!D44="","",frame_units!D44)</f>
        <v/>
      </c>
      <c r="E154" s="7">
        <f>IF(frame_units!E44="","",frame_units!E44)</f>
        <v/>
      </c>
      <c r="F154" s="7">
        <f>IF(frame_units!F44="","",frame_units!F44)</f>
        <v/>
      </c>
      <c r="G154">
        <f>IF(frame_units!G44="","",frame_units!G44)</f>
        <v/>
      </c>
      <c r="U154">
        <f>IF(frame_units!E151&lt;&gt;"",frame_units!E151,NA())</f>
        <v/>
      </c>
      <c r="V154">
        <f>IF(frame_units!E151&lt;&gt;"",frame_units!F151,NA())</f>
        <v/>
      </c>
    </row>
    <row r="155">
      <c r="A155">
        <f>IF(frame_units!A45="","",frame_units!A45)</f>
        <v/>
      </c>
      <c r="B155">
        <f>IF(frame_units!B45="","",frame_units!B45)</f>
        <v/>
      </c>
      <c r="C155">
        <f>IF(frame_units!C45="","",frame_units!C45)</f>
        <v/>
      </c>
      <c r="D155" s="7">
        <f>IF(frame_units!D45="","",frame_units!D45)</f>
        <v/>
      </c>
      <c r="E155" s="7">
        <f>IF(frame_units!E45="","",frame_units!E45)</f>
        <v/>
      </c>
      <c r="F155" s="7">
        <f>IF(frame_units!F45="","",frame_units!F45)</f>
        <v/>
      </c>
      <c r="G155">
        <f>IF(frame_units!G45="","",frame_units!G45)</f>
        <v/>
      </c>
      <c r="U155">
        <f>IF(frame_units!E152&lt;&gt;"",frame_units!E152,NA())</f>
        <v/>
      </c>
      <c r="V155">
        <f>IF(frame_units!E152&lt;&gt;"",frame_units!F152,NA())</f>
        <v/>
      </c>
    </row>
    <row r="156">
      <c r="A156">
        <f>IF(frame_units!A46="","",frame_units!A46)</f>
        <v/>
      </c>
      <c r="B156">
        <f>IF(frame_units!B46="","",frame_units!B46)</f>
        <v/>
      </c>
      <c r="C156">
        <f>IF(frame_units!C46="","",frame_units!C46)</f>
        <v/>
      </c>
      <c r="D156" s="7">
        <f>IF(frame_units!D46="","",frame_units!D46)</f>
        <v/>
      </c>
      <c r="E156" s="7">
        <f>IF(frame_units!E46="","",frame_units!E46)</f>
        <v/>
      </c>
      <c r="F156" s="7">
        <f>IF(frame_units!F46="","",frame_units!F46)</f>
        <v/>
      </c>
      <c r="G156">
        <f>IF(frame_units!G46="","",frame_units!G46)</f>
        <v/>
      </c>
      <c r="U156">
        <f>IF(frame_units!E153&lt;&gt;"",frame_units!E153,NA())</f>
        <v/>
      </c>
      <c r="V156">
        <f>IF(frame_units!E153&lt;&gt;"",frame_units!F153,NA())</f>
        <v/>
      </c>
    </row>
    <row r="157">
      <c r="A157">
        <f>IF(frame_units!A47="","",frame_units!A47)</f>
        <v/>
      </c>
      <c r="B157">
        <f>IF(frame_units!B47="","",frame_units!B47)</f>
        <v/>
      </c>
      <c r="C157">
        <f>IF(frame_units!C47="","",frame_units!C47)</f>
        <v/>
      </c>
      <c r="D157" s="7">
        <f>IF(frame_units!D47="","",frame_units!D47)</f>
        <v/>
      </c>
      <c r="E157" s="7">
        <f>IF(frame_units!E47="","",frame_units!E47)</f>
        <v/>
      </c>
      <c r="F157" s="7">
        <f>IF(frame_units!F47="","",frame_units!F47)</f>
        <v/>
      </c>
      <c r="G157">
        <f>IF(frame_units!G47="","",frame_units!G47)</f>
        <v/>
      </c>
      <c r="U157">
        <f>IF(frame_units!E154&lt;&gt;"",frame_units!E154,NA())</f>
        <v/>
      </c>
      <c r="V157">
        <f>IF(frame_units!E154&lt;&gt;"",frame_units!F154,NA())</f>
        <v/>
      </c>
    </row>
    <row r="158">
      <c r="A158">
        <f>IF(frame_units!A48="","",frame_units!A48)</f>
        <v/>
      </c>
      <c r="B158">
        <f>IF(frame_units!B48="","",frame_units!B48)</f>
        <v/>
      </c>
      <c r="C158">
        <f>IF(frame_units!C48="","",frame_units!C48)</f>
        <v/>
      </c>
      <c r="D158" s="7">
        <f>IF(frame_units!D48="","",frame_units!D48)</f>
        <v/>
      </c>
      <c r="E158" s="7">
        <f>IF(frame_units!E48="","",frame_units!E48)</f>
        <v/>
      </c>
      <c r="F158" s="7">
        <f>IF(frame_units!F48="","",frame_units!F48)</f>
        <v/>
      </c>
      <c r="G158">
        <f>IF(frame_units!G48="","",frame_units!G48)</f>
        <v/>
      </c>
      <c r="U158">
        <f>IF(frame_units!E155&lt;&gt;"",frame_units!E155,NA())</f>
        <v/>
      </c>
      <c r="V158">
        <f>IF(frame_units!E155&lt;&gt;"",frame_units!F155,NA())</f>
        <v/>
      </c>
    </row>
    <row r="159">
      <c r="A159">
        <f>IF(frame_units!A49="","",frame_units!A49)</f>
        <v/>
      </c>
      <c r="B159">
        <f>IF(frame_units!B49="","",frame_units!B49)</f>
        <v/>
      </c>
      <c r="C159">
        <f>IF(frame_units!C49="","",frame_units!C49)</f>
        <v/>
      </c>
      <c r="D159" s="7">
        <f>IF(frame_units!D49="","",frame_units!D49)</f>
        <v/>
      </c>
      <c r="E159" s="7">
        <f>IF(frame_units!E49="","",frame_units!E49)</f>
        <v/>
      </c>
      <c r="F159" s="7">
        <f>IF(frame_units!F49="","",frame_units!F49)</f>
        <v/>
      </c>
      <c r="G159">
        <f>IF(frame_units!G49="","",frame_units!G49)</f>
        <v/>
      </c>
      <c r="U159">
        <f>IF(frame_units!E156&lt;&gt;"",frame_units!E156,NA())</f>
        <v/>
      </c>
      <c r="V159">
        <f>IF(frame_units!E156&lt;&gt;"",frame_units!F156,NA())</f>
        <v/>
      </c>
    </row>
    <row r="160">
      <c r="A160">
        <f>IF(frame_units!A50="","",frame_units!A50)</f>
        <v/>
      </c>
      <c r="B160">
        <f>IF(frame_units!B50="","",frame_units!B50)</f>
        <v/>
      </c>
      <c r="C160">
        <f>IF(frame_units!C50="","",frame_units!C50)</f>
        <v/>
      </c>
      <c r="D160" s="7">
        <f>IF(frame_units!D50="","",frame_units!D50)</f>
        <v/>
      </c>
      <c r="E160" s="7">
        <f>IF(frame_units!E50="","",frame_units!E50)</f>
        <v/>
      </c>
      <c r="F160" s="7">
        <f>IF(frame_units!F50="","",frame_units!F50)</f>
        <v/>
      </c>
      <c r="G160">
        <f>IF(frame_units!G50="","",frame_units!G50)</f>
        <v/>
      </c>
      <c r="U160">
        <f>IF(frame_units!E157&lt;&gt;"",frame_units!E157,NA())</f>
        <v/>
      </c>
      <c r="V160">
        <f>IF(frame_units!E157&lt;&gt;"",frame_units!F157,NA())</f>
        <v/>
      </c>
    </row>
    <row r="161">
      <c r="A161">
        <f>IF(frame_units!A51="","",frame_units!A51)</f>
        <v/>
      </c>
      <c r="B161">
        <f>IF(frame_units!B51="","",frame_units!B51)</f>
        <v/>
      </c>
      <c r="C161">
        <f>IF(frame_units!C51="","",frame_units!C51)</f>
        <v/>
      </c>
      <c r="D161" s="7">
        <f>IF(frame_units!D51="","",frame_units!D51)</f>
        <v/>
      </c>
      <c r="E161" s="7">
        <f>IF(frame_units!E51="","",frame_units!E51)</f>
        <v/>
      </c>
      <c r="F161" s="7">
        <f>IF(frame_units!F51="","",frame_units!F51)</f>
        <v/>
      </c>
      <c r="G161">
        <f>IF(frame_units!G51="","",frame_units!G51)</f>
        <v/>
      </c>
      <c r="U161">
        <f>IF(frame_units!E158&lt;&gt;"",frame_units!E158,NA())</f>
        <v/>
      </c>
      <c r="V161">
        <f>IF(frame_units!E158&lt;&gt;"",frame_units!F158,NA())</f>
        <v/>
      </c>
    </row>
    <row r="162">
      <c r="A162">
        <f>IF(frame_units!A52="","",frame_units!A52)</f>
        <v/>
      </c>
      <c r="B162">
        <f>IF(frame_units!B52="","",frame_units!B52)</f>
        <v/>
      </c>
      <c r="C162">
        <f>IF(frame_units!C52="","",frame_units!C52)</f>
        <v/>
      </c>
      <c r="D162" s="7">
        <f>IF(frame_units!D52="","",frame_units!D52)</f>
        <v/>
      </c>
      <c r="E162" s="7">
        <f>IF(frame_units!E52="","",frame_units!E52)</f>
        <v/>
      </c>
      <c r="F162" s="7">
        <f>IF(frame_units!F52="","",frame_units!F52)</f>
        <v/>
      </c>
      <c r="G162">
        <f>IF(frame_units!G52="","",frame_units!G52)</f>
        <v/>
      </c>
      <c r="U162">
        <f>IF(frame_units!E159&lt;&gt;"",frame_units!E159,NA())</f>
        <v/>
      </c>
      <c r="V162">
        <f>IF(frame_units!E159&lt;&gt;"",frame_units!F159,NA())</f>
        <v/>
      </c>
    </row>
    <row r="163">
      <c r="A163">
        <f>IF(frame_units!A53="","",frame_units!A53)</f>
        <v/>
      </c>
      <c r="B163">
        <f>IF(frame_units!B53="","",frame_units!B53)</f>
        <v/>
      </c>
      <c r="C163">
        <f>IF(frame_units!C53="","",frame_units!C53)</f>
        <v/>
      </c>
      <c r="D163" s="7">
        <f>IF(frame_units!D53="","",frame_units!D53)</f>
        <v/>
      </c>
      <c r="E163" s="7">
        <f>IF(frame_units!E53="","",frame_units!E53)</f>
        <v/>
      </c>
      <c r="F163" s="7">
        <f>IF(frame_units!F53="","",frame_units!F53)</f>
        <v/>
      </c>
      <c r="G163">
        <f>IF(frame_units!G53="","",frame_units!G53)</f>
        <v/>
      </c>
      <c r="U163">
        <f>IF(frame_units!E160&lt;&gt;"",frame_units!E160,NA())</f>
        <v/>
      </c>
      <c r="V163">
        <f>IF(frame_units!E160&lt;&gt;"",frame_units!F160,NA())</f>
        <v/>
      </c>
    </row>
    <row r="164">
      <c r="A164">
        <f>IF(frame_units!A54="","",frame_units!A54)</f>
        <v/>
      </c>
      <c r="B164">
        <f>IF(frame_units!B54="","",frame_units!B54)</f>
        <v/>
      </c>
      <c r="C164">
        <f>IF(frame_units!C54="","",frame_units!C54)</f>
        <v/>
      </c>
      <c r="D164" s="7">
        <f>IF(frame_units!D54="","",frame_units!D54)</f>
        <v/>
      </c>
      <c r="E164" s="7">
        <f>IF(frame_units!E54="","",frame_units!E54)</f>
        <v/>
      </c>
      <c r="F164" s="7">
        <f>IF(frame_units!F54="","",frame_units!F54)</f>
        <v/>
      </c>
      <c r="G164">
        <f>IF(frame_units!G54="","",frame_units!G54)</f>
        <v/>
      </c>
      <c r="U164">
        <f>IF(frame_units!E161&lt;&gt;"",frame_units!E161,NA())</f>
        <v/>
      </c>
      <c r="V164">
        <f>IF(frame_units!E161&lt;&gt;"",frame_units!F161,NA())</f>
        <v/>
      </c>
    </row>
    <row r="165">
      <c r="A165">
        <f>IF(frame_units!A55="","",frame_units!A55)</f>
        <v/>
      </c>
      <c r="B165">
        <f>IF(frame_units!B55="","",frame_units!B55)</f>
        <v/>
      </c>
      <c r="C165">
        <f>IF(frame_units!C55="","",frame_units!C55)</f>
        <v/>
      </c>
      <c r="D165" s="7">
        <f>IF(frame_units!D55="","",frame_units!D55)</f>
        <v/>
      </c>
      <c r="E165" s="7">
        <f>IF(frame_units!E55="","",frame_units!E55)</f>
        <v/>
      </c>
      <c r="F165" s="7">
        <f>IF(frame_units!F55="","",frame_units!F55)</f>
        <v/>
      </c>
      <c r="G165">
        <f>IF(frame_units!G55="","",frame_units!G55)</f>
        <v/>
      </c>
      <c r="U165">
        <f>IF(frame_units!E162&lt;&gt;"",frame_units!E162,NA())</f>
        <v/>
      </c>
      <c r="V165">
        <f>IF(frame_units!E162&lt;&gt;"",frame_units!F162,NA())</f>
        <v/>
      </c>
    </row>
    <row r="166">
      <c r="A166">
        <f>IF(frame_units!A56="","",frame_units!A56)</f>
        <v/>
      </c>
      <c r="B166">
        <f>IF(frame_units!B56="","",frame_units!B56)</f>
        <v/>
      </c>
      <c r="C166">
        <f>IF(frame_units!C56="","",frame_units!C56)</f>
        <v/>
      </c>
      <c r="D166" s="7">
        <f>IF(frame_units!D56="","",frame_units!D56)</f>
        <v/>
      </c>
      <c r="E166" s="7">
        <f>IF(frame_units!E56="","",frame_units!E56)</f>
        <v/>
      </c>
      <c r="F166" s="7">
        <f>IF(frame_units!F56="","",frame_units!F56)</f>
        <v/>
      </c>
      <c r="G166">
        <f>IF(frame_units!G56="","",frame_units!G56)</f>
        <v/>
      </c>
      <c r="U166">
        <f>IF(frame_units!E163&lt;&gt;"",frame_units!E163,NA())</f>
        <v/>
      </c>
      <c r="V166">
        <f>IF(frame_units!E163&lt;&gt;"",frame_units!F163,NA())</f>
        <v/>
      </c>
    </row>
    <row r="167">
      <c r="A167">
        <f>IF(frame_units!A57="","",frame_units!A57)</f>
        <v/>
      </c>
      <c r="B167">
        <f>IF(frame_units!B57="","",frame_units!B57)</f>
        <v/>
      </c>
      <c r="C167">
        <f>IF(frame_units!C57="","",frame_units!C57)</f>
        <v/>
      </c>
      <c r="D167" s="7">
        <f>IF(frame_units!D57="","",frame_units!D57)</f>
        <v/>
      </c>
      <c r="E167" s="7">
        <f>IF(frame_units!E57="","",frame_units!E57)</f>
        <v/>
      </c>
      <c r="F167" s="7">
        <f>IF(frame_units!F57="","",frame_units!F57)</f>
        <v/>
      </c>
      <c r="G167">
        <f>IF(frame_units!G57="","",frame_units!G57)</f>
        <v/>
      </c>
      <c r="U167">
        <f>IF(frame_units!E164&lt;&gt;"",frame_units!E164,NA())</f>
        <v/>
      </c>
      <c r="V167">
        <f>IF(frame_units!E164&lt;&gt;"",frame_units!F164,NA())</f>
        <v/>
      </c>
    </row>
    <row r="168">
      <c r="A168">
        <f>IF(frame_units!A58="","",frame_units!A58)</f>
        <v/>
      </c>
      <c r="B168">
        <f>IF(frame_units!B58="","",frame_units!B58)</f>
        <v/>
      </c>
      <c r="C168">
        <f>IF(frame_units!C58="","",frame_units!C58)</f>
        <v/>
      </c>
      <c r="D168" s="7">
        <f>IF(frame_units!D58="","",frame_units!D58)</f>
        <v/>
      </c>
      <c r="E168" s="7">
        <f>IF(frame_units!E58="","",frame_units!E58)</f>
        <v/>
      </c>
      <c r="F168" s="7">
        <f>IF(frame_units!F58="","",frame_units!F58)</f>
        <v/>
      </c>
      <c r="G168">
        <f>IF(frame_units!G58="","",frame_units!G58)</f>
        <v/>
      </c>
      <c r="U168">
        <f>IF(frame_units!E165&lt;&gt;"",frame_units!E165,NA())</f>
        <v/>
      </c>
      <c r="V168">
        <f>IF(frame_units!E165&lt;&gt;"",frame_units!F165,NA())</f>
        <v/>
      </c>
    </row>
    <row r="169">
      <c r="A169">
        <f>IF(frame_units!A59="","",frame_units!A59)</f>
        <v/>
      </c>
      <c r="B169">
        <f>IF(frame_units!B59="","",frame_units!B59)</f>
        <v/>
      </c>
      <c r="C169">
        <f>IF(frame_units!C59="","",frame_units!C59)</f>
        <v/>
      </c>
      <c r="D169" s="7">
        <f>IF(frame_units!D59="","",frame_units!D59)</f>
        <v/>
      </c>
      <c r="E169" s="7">
        <f>IF(frame_units!E59="","",frame_units!E59)</f>
        <v/>
      </c>
      <c r="F169" s="7">
        <f>IF(frame_units!F59="","",frame_units!F59)</f>
        <v/>
      </c>
      <c r="G169">
        <f>IF(frame_units!G59="","",frame_units!G59)</f>
        <v/>
      </c>
      <c r="U169">
        <f>IF(frame_units!E166&lt;&gt;"",frame_units!E166,NA())</f>
        <v/>
      </c>
      <c r="V169">
        <f>IF(frame_units!E166&lt;&gt;"",frame_units!F166,NA())</f>
        <v/>
      </c>
    </row>
    <row r="170">
      <c r="A170">
        <f>IF(frame_units!A60="","",frame_units!A60)</f>
        <v/>
      </c>
      <c r="B170">
        <f>IF(frame_units!B60="","",frame_units!B60)</f>
        <v/>
      </c>
      <c r="C170">
        <f>IF(frame_units!C60="","",frame_units!C60)</f>
        <v/>
      </c>
      <c r="D170" s="7">
        <f>IF(frame_units!D60="","",frame_units!D60)</f>
        <v/>
      </c>
      <c r="E170" s="7">
        <f>IF(frame_units!E60="","",frame_units!E60)</f>
        <v/>
      </c>
      <c r="F170" s="7">
        <f>IF(frame_units!F60="","",frame_units!F60)</f>
        <v/>
      </c>
      <c r="G170">
        <f>IF(frame_units!G60="","",frame_units!G60)</f>
        <v/>
      </c>
      <c r="U170">
        <f>IF(frame_units!E167&lt;&gt;"",frame_units!E167,NA())</f>
        <v/>
      </c>
      <c r="V170">
        <f>IF(frame_units!E167&lt;&gt;"",frame_units!F167,NA())</f>
        <v/>
      </c>
    </row>
    <row r="171">
      <c r="A171">
        <f>IF(frame_units!A61="","",frame_units!A61)</f>
        <v/>
      </c>
      <c r="B171">
        <f>IF(frame_units!B61="","",frame_units!B61)</f>
        <v/>
      </c>
      <c r="C171">
        <f>IF(frame_units!C61="","",frame_units!C61)</f>
        <v/>
      </c>
      <c r="D171" s="7">
        <f>IF(frame_units!D61="","",frame_units!D61)</f>
        <v/>
      </c>
      <c r="E171" s="7">
        <f>IF(frame_units!E61="","",frame_units!E61)</f>
        <v/>
      </c>
      <c r="F171" s="7">
        <f>IF(frame_units!F61="","",frame_units!F61)</f>
        <v/>
      </c>
      <c r="G171">
        <f>IF(frame_units!G61="","",frame_units!G61)</f>
        <v/>
      </c>
      <c r="U171">
        <f>IF(frame_units!E168&lt;&gt;"",frame_units!E168,NA())</f>
        <v/>
      </c>
      <c r="V171">
        <f>IF(frame_units!E168&lt;&gt;"",frame_units!F168,NA())</f>
        <v/>
      </c>
    </row>
    <row r="172">
      <c r="U172">
        <f>IF(frame_units!E169&lt;&gt;"",frame_units!E169,NA())</f>
        <v/>
      </c>
      <c r="V172">
        <f>IF(frame_units!E169&lt;&gt;"",frame_units!F169,NA())</f>
        <v/>
      </c>
    </row>
    <row r="173">
      <c r="U173">
        <f>IF(frame_units!E170&lt;&gt;"",frame_units!E170,NA())</f>
        <v/>
      </c>
      <c r="V173">
        <f>IF(frame_units!E170&lt;&gt;"",frame_units!F170,NA())</f>
        <v/>
      </c>
    </row>
    <row r="174">
      <c r="U174">
        <f>IF(frame_units!E171&lt;&gt;"",frame_units!E171,NA())</f>
        <v/>
      </c>
      <c r="V174">
        <f>IF(frame_units!E171&lt;&gt;"",frame_units!F171,NA())</f>
        <v/>
      </c>
    </row>
    <row r="175">
      <c r="U175">
        <f>IF(frame_units!E172&lt;&gt;"",frame_units!E172,NA())</f>
        <v/>
      </c>
      <c r="V175">
        <f>IF(frame_units!E172&lt;&gt;"",frame_units!F172,NA())</f>
        <v/>
      </c>
    </row>
    <row r="176">
      <c r="U176">
        <f>IF(frame_units!E173&lt;&gt;"",frame_units!E173,NA())</f>
        <v/>
      </c>
      <c r="V176">
        <f>IF(frame_units!E173&lt;&gt;"",frame_units!F173,NA())</f>
        <v/>
      </c>
    </row>
    <row r="177">
      <c r="U177">
        <f>IF(frame_units!E174&lt;&gt;"",frame_units!E174,NA())</f>
        <v/>
      </c>
      <c r="V177">
        <f>IF(frame_units!E174&lt;&gt;"",frame_units!F174,NA())</f>
        <v/>
      </c>
    </row>
    <row r="178">
      <c r="U178">
        <f>IF(frame_units!E175&lt;&gt;"",frame_units!E175,NA())</f>
        <v/>
      </c>
      <c r="V178">
        <f>IF(frame_units!E175&lt;&gt;"",frame_units!F175,NA())</f>
        <v/>
      </c>
    </row>
    <row r="179">
      <c r="U179">
        <f>IF(frame_units!E176&lt;&gt;"",frame_units!E176,NA())</f>
        <v/>
      </c>
      <c r="V179">
        <f>IF(frame_units!E176&lt;&gt;"",frame_units!F176,NA())</f>
        <v/>
      </c>
    </row>
    <row r="180">
      <c r="U180">
        <f>IF(frame_units!E177&lt;&gt;"",frame_units!E177,NA())</f>
        <v/>
      </c>
      <c r="V180">
        <f>IF(frame_units!E177&lt;&gt;"",frame_units!F177,NA())</f>
        <v/>
      </c>
    </row>
    <row r="181">
      <c r="U181">
        <f>IF(frame_units!E178&lt;&gt;"",frame_units!E178,NA())</f>
        <v/>
      </c>
      <c r="V181">
        <f>IF(frame_units!E178&lt;&gt;"",frame_units!F178,NA())</f>
        <v/>
      </c>
    </row>
    <row r="182">
      <c r="U182">
        <f>IF(frame_units!E179&lt;&gt;"",frame_units!E179,NA())</f>
        <v/>
      </c>
      <c r="V182">
        <f>IF(frame_units!E179&lt;&gt;"",frame_units!F179,NA())</f>
        <v/>
      </c>
    </row>
    <row r="183">
      <c r="U183">
        <f>IF(frame_units!E180&lt;&gt;"",frame_units!E180,NA())</f>
        <v/>
      </c>
      <c r="V183">
        <f>IF(frame_units!E180&lt;&gt;"",frame_units!F180,NA())</f>
        <v/>
      </c>
    </row>
    <row r="184">
      <c r="U184">
        <f>IF(frame_units!E181&lt;&gt;"",frame_units!E181,NA())</f>
        <v/>
      </c>
      <c r="V184">
        <f>IF(frame_units!E181&lt;&gt;"",frame_units!F181,NA())</f>
        <v/>
      </c>
    </row>
    <row r="185">
      <c r="U185">
        <f>IF(frame_units!E182&lt;&gt;"",frame_units!E182,NA())</f>
        <v/>
      </c>
      <c r="V185">
        <f>IF(frame_units!E182&lt;&gt;"",frame_units!F182,NA())</f>
        <v/>
      </c>
    </row>
    <row r="186">
      <c r="U186">
        <f>IF(frame_units!E183&lt;&gt;"",frame_units!E183,NA())</f>
        <v/>
      </c>
      <c r="V186">
        <f>IF(frame_units!E183&lt;&gt;"",frame_units!F183,NA())</f>
        <v/>
      </c>
    </row>
    <row r="187">
      <c r="U187">
        <f>IF(frame_units!E184&lt;&gt;"",frame_units!E184,NA())</f>
        <v/>
      </c>
      <c r="V187">
        <f>IF(frame_units!E184&lt;&gt;"",frame_units!F184,NA())</f>
        <v/>
      </c>
    </row>
    <row r="188">
      <c r="U188">
        <f>IF(frame_units!E185&lt;&gt;"",frame_units!E185,NA())</f>
        <v/>
      </c>
      <c r="V188">
        <f>IF(frame_units!E185&lt;&gt;"",frame_units!F185,NA())</f>
        <v/>
      </c>
    </row>
    <row r="189">
      <c r="U189">
        <f>IF(frame_units!E186&lt;&gt;"",frame_units!E186,NA())</f>
        <v/>
      </c>
      <c r="V189">
        <f>IF(frame_units!E186&lt;&gt;"",frame_units!F186,NA())</f>
        <v/>
      </c>
    </row>
    <row r="190">
      <c r="U190">
        <f>IF(frame_units!E187&lt;&gt;"",frame_units!E187,NA())</f>
        <v/>
      </c>
      <c r="V190">
        <f>IF(frame_units!E187&lt;&gt;"",frame_units!F187,NA())</f>
        <v/>
      </c>
    </row>
    <row r="191">
      <c r="U191">
        <f>IF(frame_units!E188&lt;&gt;"",frame_units!E188,NA())</f>
        <v/>
      </c>
      <c r="V191">
        <f>IF(frame_units!E188&lt;&gt;"",frame_units!F188,NA())</f>
        <v/>
      </c>
    </row>
    <row r="192">
      <c r="U192">
        <f>IF(frame_units!E189&lt;&gt;"",frame_units!E189,NA())</f>
        <v/>
      </c>
      <c r="V192">
        <f>IF(frame_units!E189&lt;&gt;"",frame_units!F189,NA())</f>
        <v/>
      </c>
    </row>
    <row r="193">
      <c r="U193">
        <f>IF(frame_units!E190&lt;&gt;"",frame_units!E190,NA())</f>
        <v/>
      </c>
      <c r="V193">
        <f>IF(frame_units!E190&lt;&gt;"",frame_units!F190,NA())</f>
        <v/>
      </c>
    </row>
    <row r="194">
      <c r="U194">
        <f>IF(frame_units!E191&lt;&gt;"",frame_units!E191,NA())</f>
        <v/>
      </c>
      <c r="V194">
        <f>IF(frame_units!E191&lt;&gt;"",frame_units!F191,NA())</f>
        <v/>
      </c>
    </row>
    <row r="195">
      <c r="U195">
        <f>IF(frame_units!E192&lt;&gt;"",frame_units!E192,NA())</f>
        <v/>
      </c>
      <c r="V195">
        <f>IF(frame_units!E192&lt;&gt;"",frame_units!F192,NA())</f>
        <v/>
      </c>
    </row>
    <row r="196">
      <c r="U196">
        <f>IF(frame_units!E193&lt;&gt;"",frame_units!E193,NA())</f>
        <v/>
      </c>
      <c r="V196">
        <f>IF(frame_units!E193&lt;&gt;"",frame_units!F193,NA())</f>
        <v/>
      </c>
    </row>
    <row r="197">
      <c r="U197">
        <f>IF(frame_units!E194&lt;&gt;"",frame_units!E194,NA())</f>
        <v/>
      </c>
      <c r="V197">
        <f>IF(frame_units!E194&lt;&gt;"",frame_units!F194,NA())</f>
        <v/>
      </c>
    </row>
    <row r="198">
      <c r="U198">
        <f>IF(frame_units!E195&lt;&gt;"",frame_units!E195,NA())</f>
        <v/>
      </c>
      <c r="V198">
        <f>IF(frame_units!E195&lt;&gt;"",frame_units!F195,NA())</f>
        <v/>
      </c>
    </row>
    <row r="199">
      <c r="U199">
        <f>IF(frame_units!E196&lt;&gt;"",frame_units!E196,NA())</f>
        <v/>
      </c>
      <c r="V199">
        <f>IF(frame_units!E196&lt;&gt;"",frame_units!F196,NA())</f>
        <v/>
      </c>
    </row>
    <row r="200">
      <c r="U200">
        <f>IF(frame_units!E197&lt;&gt;"",frame_units!E197,NA())</f>
        <v/>
      </c>
      <c r="V200">
        <f>IF(frame_units!E197&lt;&gt;"",frame_units!F197,NA())</f>
        <v/>
      </c>
    </row>
    <row r="201">
      <c r="U201">
        <f>IF(frame_units!E198&lt;&gt;"",frame_units!E198,NA())</f>
        <v/>
      </c>
      <c r="V201">
        <f>IF(frame_units!E198&lt;&gt;"",frame_units!F198,NA())</f>
        <v/>
      </c>
    </row>
    <row r="202">
      <c r="U202">
        <f>IF(frame_units!E199&lt;&gt;"",frame_units!E199,NA())</f>
        <v/>
      </c>
      <c r="V202">
        <f>IF(frame_units!E199&lt;&gt;"",frame_units!F199,NA())</f>
        <v/>
      </c>
    </row>
    <row r="203">
      <c r="U203">
        <f>IF(frame_units!E200&lt;&gt;"",frame_units!E200,NA())</f>
        <v/>
      </c>
      <c r="V203">
        <f>IF(frame_units!E200&lt;&gt;"",frame_units!F200,NA())</f>
        <v/>
      </c>
    </row>
    <row r="204">
      <c r="U204">
        <f>IF(frame_units!E201&lt;&gt;"",frame_units!E201,NA())</f>
        <v/>
      </c>
      <c r="V204">
        <f>IF(frame_units!E201&lt;&gt;"",frame_units!F201,NA())</f>
        <v/>
      </c>
    </row>
    <row r="205">
      <c r="U205">
        <f>IF(frame_units!E202&lt;&gt;"",frame_units!E202,NA())</f>
        <v/>
      </c>
      <c r="V205">
        <f>IF(frame_units!E202&lt;&gt;"",frame_units!F202,NA())</f>
        <v/>
      </c>
    </row>
    <row r="206">
      <c r="U206">
        <f>IF(frame_units!E203&lt;&gt;"",frame_units!E203,NA())</f>
        <v/>
      </c>
      <c r="V206">
        <f>IF(frame_units!E203&lt;&gt;"",frame_units!F203,NA())</f>
        <v/>
      </c>
    </row>
    <row r="207">
      <c r="U207">
        <f>IF(frame_units!E204&lt;&gt;"",frame_units!E204,NA())</f>
        <v/>
      </c>
      <c r="V207">
        <f>IF(frame_units!E204&lt;&gt;"",frame_units!F204,NA())</f>
        <v/>
      </c>
    </row>
    <row r="208">
      <c r="U208">
        <f>IF(frame_units!E205&lt;&gt;"",frame_units!E205,NA())</f>
        <v/>
      </c>
      <c r="V208">
        <f>IF(frame_units!E205&lt;&gt;"",frame_units!F205,NA())</f>
        <v/>
      </c>
    </row>
    <row r="209">
      <c r="U209">
        <f>IF(frame_units!E206&lt;&gt;"",frame_units!E206,NA())</f>
        <v/>
      </c>
      <c r="V209">
        <f>IF(frame_units!E206&lt;&gt;"",frame_units!F206,NA())</f>
        <v/>
      </c>
    </row>
    <row r="210">
      <c r="U210">
        <f>IF(frame_units!E207&lt;&gt;"",frame_units!E207,NA())</f>
        <v/>
      </c>
      <c r="V210">
        <f>IF(frame_units!E207&lt;&gt;"",frame_units!F207,NA())</f>
        <v/>
      </c>
    </row>
    <row r="211">
      <c r="U211">
        <f>IF(frame_units!E208&lt;&gt;"",frame_units!E208,NA())</f>
        <v/>
      </c>
      <c r="V211">
        <f>IF(frame_units!E208&lt;&gt;"",frame_units!F208,NA())</f>
        <v/>
      </c>
    </row>
    <row r="212">
      <c r="U212">
        <f>IF(frame_units!E209&lt;&gt;"",frame_units!E209,NA())</f>
        <v/>
      </c>
      <c r="V212">
        <f>IF(frame_units!E209&lt;&gt;"",frame_units!F209,NA())</f>
        <v/>
      </c>
    </row>
    <row r="213">
      <c r="U213">
        <f>IF(frame_units!E210&lt;&gt;"",frame_units!E210,NA())</f>
        <v/>
      </c>
      <c r="V213">
        <f>IF(frame_units!E210&lt;&gt;"",frame_units!F210,NA())</f>
        <v/>
      </c>
    </row>
    <row r="214">
      <c r="U214">
        <f>IF(frame_units!E211&lt;&gt;"",frame_units!E211,NA())</f>
        <v/>
      </c>
      <c r="V214">
        <f>IF(frame_units!E211&lt;&gt;"",frame_units!F211,NA())</f>
        <v/>
      </c>
    </row>
    <row r="215">
      <c r="U215">
        <f>IF(frame_units!E212&lt;&gt;"",frame_units!E212,NA())</f>
        <v/>
      </c>
      <c r="V215">
        <f>IF(frame_units!E212&lt;&gt;"",frame_units!F212,NA())</f>
        <v/>
      </c>
    </row>
    <row r="216">
      <c r="U216">
        <f>IF(frame_units!E213&lt;&gt;"",frame_units!E213,NA())</f>
        <v/>
      </c>
      <c r="V216">
        <f>IF(frame_units!E213&lt;&gt;"",frame_units!F213,NA())</f>
        <v/>
      </c>
    </row>
    <row r="217">
      <c r="U217">
        <f>IF(frame_units!E214&lt;&gt;"",frame_units!E214,NA())</f>
        <v/>
      </c>
      <c r="V217">
        <f>IF(frame_units!E214&lt;&gt;"",frame_units!F214,NA())</f>
        <v/>
      </c>
    </row>
    <row r="218">
      <c r="U218">
        <f>IF(frame_units!E215&lt;&gt;"",frame_units!E215,NA())</f>
        <v/>
      </c>
      <c r="V218">
        <f>IF(frame_units!E215&lt;&gt;"",frame_units!F215,NA())</f>
        <v/>
      </c>
    </row>
    <row r="219">
      <c r="U219">
        <f>IF(frame_units!E216&lt;&gt;"",frame_units!E216,NA())</f>
        <v/>
      </c>
      <c r="V219">
        <f>IF(frame_units!E216&lt;&gt;"",frame_units!F216,NA())</f>
        <v/>
      </c>
    </row>
    <row r="220">
      <c r="U220">
        <f>IF(frame_units!E217&lt;&gt;"",frame_units!E217,NA())</f>
        <v/>
      </c>
      <c r="V220">
        <f>IF(frame_units!E217&lt;&gt;"",frame_units!F217,NA())</f>
        <v/>
      </c>
    </row>
    <row r="221">
      <c r="U221">
        <f>IF(frame_units!E218&lt;&gt;"",frame_units!E218,NA())</f>
        <v/>
      </c>
      <c r="V221">
        <f>IF(frame_units!E218&lt;&gt;"",frame_units!F218,NA())</f>
        <v/>
      </c>
    </row>
    <row r="222">
      <c r="U222">
        <f>IF(frame_units!E219&lt;&gt;"",frame_units!E219,NA())</f>
        <v/>
      </c>
      <c r="V222">
        <f>IF(frame_units!E219&lt;&gt;"",frame_units!F219,NA())</f>
        <v/>
      </c>
    </row>
    <row r="223">
      <c r="U223">
        <f>IF(frame_units!E220&lt;&gt;"",frame_units!E220,NA())</f>
        <v/>
      </c>
      <c r="V223">
        <f>IF(frame_units!E220&lt;&gt;"",frame_units!F220,NA())</f>
        <v/>
      </c>
    </row>
    <row r="224">
      <c r="U224">
        <f>IF(frame_units!E221&lt;&gt;"",frame_units!E221,NA())</f>
        <v/>
      </c>
      <c r="V224">
        <f>IF(frame_units!E221&lt;&gt;"",frame_units!F221,NA())</f>
        <v/>
      </c>
    </row>
    <row r="225">
      <c r="U225">
        <f>IF(frame_units!E222&lt;&gt;"",frame_units!E222,NA())</f>
        <v/>
      </c>
      <c r="V225">
        <f>IF(frame_units!E222&lt;&gt;"",frame_units!F222,NA())</f>
        <v/>
      </c>
    </row>
    <row r="226">
      <c r="U226">
        <f>IF(frame_units!E223&lt;&gt;"",frame_units!E223,NA())</f>
        <v/>
      </c>
      <c r="V226">
        <f>IF(frame_units!E223&lt;&gt;"",frame_units!F223,NA())</f>
        <v/>
      </c>
    </row>
    <row r="227">
      <c r="U227">
        <f>IF(frame_units!E224&lt;&gt;"",frame_units!E224,NA())</f>
        <v/>
      </c>
      <c r="V227">
        <f>IF(frame_units!E224&lt;&gt;"",frame_units!F224,NA())</f>
        <v/>
      </c>
    </row>
    <row r="228">
      <c r="U228">
        <f>IF(frame_units!E225&lt;&gt;"",frame_units!E225,NA())</f>
        <v/>
      </c>
      <c r="V228">
        <f>IF(frame_units!E225&lt;&gt;"",frame_units!F225,NA())</f>
        <v/>
      </c>
    </row>
    <row r="229">
      <c r="U229">
        <f>IF(frame_units!E226&lt;&gt;"",frame_units!E226,NA())</f>
        <v/>
      </c>
      <c r="V229">
        <f>IF(frame_units!E226&lt;&gt;"",frame_units!F226,NA())</f>
        <v/>
      </c>
    </row>
    <row r="230">
      <c r="U230">
        <f>IF(frame_units!E227&lt;&gt;"",frame_units!E227,NA())</f>
        <v/>
      </c>
      <c r="V230">
        <f>IF(frame_units!E227&lt;&gt;"",frame_units!F227,NA())</f>
        <v/>
      </c>
    </row>
    <row r="231">
      <c r="U231">
        <f>IF(frame_units!E228&lt;&gt;"",frame_units!E228,NA())</f>
        <v/>
      </c>
      <c r="V231">
        <f>IF(frame_units!E228&lt;&gt;"",frame_units!F228,NA())</f>
        <v/>
      </c>
    </row>
    <row r="232">
      <c r="U232">
        <f>IF(frame_units!E229&lt;&gt;"",frame_units!E229,NA())</f>
        <v/>
      </c>
      <c r="V232">
        <f>IF(frame_units!E229&lt;&gt;"",frame_units!F229,NA())</f>
        <v/>
      </c>
    </row>
    <row r="233">
      <c r="U233">
        <f>IF(frame_units!E230&lt;&gt;"",frame_units!E230,NA())</f>
        <v/>
      </c>
      <c r="V233">
        <f>IF(frame_units!E230&lt;&gt;"",frame_units!F230,NA())</f>
        <v/>
      </c>
    </row>
    <row r="234">
      <c r="U234">
        <f>IF(frame_units!E231&lt;&gt;"",frame_units!E231,NA())</f>
        <v/>
      </c>
      <c r="V234">
        <f>IF(frame_units!E231&lt;&gt;"",frame_units!F231,NA())</f>
        <v/>
      </c>
    </row>
    <row r="235">
      <c r="U235">
        <f>IF(frame_units!E232&lt;&gt;"",frame_units!E232,NA())</f>
        <v/>
      </c>
      <c r="V235">
        <f>IF(frame_units!E232&lt;&gt;"",frame_units!F232,NA())</f>
        <v/>
      </c>
    </row>
    <row r="236">
      <c r="U236">
        <f>IF(frame_units!E233&lt;&gt;"",frame_units!E233,NA())</f>
        <v/>
      </c>
      <c r="V236">
        <f>IF(frame_units!E233&lt;&gt;"",frame_units!F233,NA())</f>
        <v/>
      </c>
    </row>
    <row r="237">
      <c r="U237">
        <f>IF(frame_units!E234&lt;&gt;"",frame_units!E234,NA())</f>
        <v/>
      </c>
      <c r="V237">
        <f>IF(frame_units!E234&lt;&gt;"",frame_units!F234,NA())</f>
        <v/>
      </c>
    </row>
    <row r="238">
      <c r="U238">
        <f>IF(frame_units!E235&lt;&gt;"",frame_units!E235,NA())</f>
        <v/>
      </c>
      <c r="V238">
        <f>IF(frame_units!E235&lt;&gt;"",frame_units!F235,NA())</f>
        <v/>
      </c>
    </row>
    <row r="239">
      <c r="U239">
        <f>IF(frame_units!E236&lt;&gt;"",frame_units!E236,NA())</f>
        <v/>
      </c>
      <c r="V239">
        <f>IF(frame_units!E236&lt;&gt;"",frame_units!F236,NA())</f>
        <v/>
      </c>
    </row>
    <row r="240">
      <c r="U240">
        <f>IF(frame_units!E237&lt;&gt;"",frame_units!E237,NA())</f>
        <v/>
      </c>
      <c r="V240">
        <f>IF(frame_units!E237&lt;&gt;"",frame_units!F237,NA())</f>
        <v/>
      </c>
    </row>
    <row r="241">
      <c r="U241">
        <f>IF(frame_units!E238&lt;&gt;"",frame_units!E238,NA())</f>
        <v/>
      </c>
      <c r="V241">
        <f>IF(frame_units!E238&lt;&gt;"",frame_units!F238,NA())</f>
        <v/>
      </c>
    </row>
    <row r="242">
      <c r="U242">
        <f>IF(frame_units!E239&lt;&gt;"",frame_units!E239,NA())</f>
        <v/>
      </c>
      <c r="V242">
        <f>IF(frame_units!E239&lt;&gt;"",frame_units!F239,NA())</f>
        <v/>
      </c>
    </row>
    <row r="243">
      <c r="U243">
        <f>IF(frame_units!E240&lt;&gt;"",frame_units!E240,NA())</f>
        <v/>
      </c>
      <c r="V243">
        <f>IF(frame_units!E240&lt;&gt;"",frame_units!F240,NA())</f>
        <v/>
      </c>
    </row>
    <row r="244">
      <c r="U244">
        <f>IF(frame_units!E241&lt;&gt;"",frame_units!E241,NA())</f>
        <v/>
      </c>
      <c r="V244">
        <f>IF(frame_units!E241&lt;&gt;"",frame_units!F241,NA())</f>
        <v/>
      </c>
    </row>
    <row r="245">
      <c r="U245">
        <f>IF(frame_units!E242&lt;&gt;"",frame_units!E242,NA())</f>
        <v/>
      </c>
      <c r="V245">
        <f>IF(frame_units!E242&lt;&gt;"",frame_units!F242,NA())</f>
        <v/>
      </c>
    </row>
    <row r="246">
      <c r="U246">
        <f>IF(frame_units!E243&lt;&gt;"",frame_units!E243,NA())</f>
        <v/>
      </c>
      <c r="V246">
        <f>IF(frame_units!E243&lt;&gt;"",frame_units!F243,NA())</f>
        <v/>
      </c>
    </row>
    <row r="247">
      <c r="U247">
        <f>IF(frame_units!E244&lt;&gt;"",frame_units!E244,NA())</f>
        <v/>
      </c>
      <c r="V247">
        <f>IF(frame_units!E244&lt;&gt;"",frame_units!F244,NA())</f>
        <v/>
      </c>
    </row>
    <row r="248">
      <c r="U248">
        <f>IF(frame_units!E245&lt;&gt;"",frame_units!E245,NA())</f>
        <v/>
      </c>
      <c r="V248">
        <f>IF(frame_units!E245&lt;&gt;"",frame_units!F245,NA())</f>
        <v/>
      </c>
    </row>
    <row r="249">
      <c r="U249">
        <f>IF(frame_units!E246&lt;&gt;"",frame_units!E246,NA())</f>
        <v/>
      </c>
      <c r="V249">
        <f>IF(frame_units!E246&lt;&gt;"",frame_units!F246,NA())</f>
        <v/>
      </c>
    </row>
    <row r="250">
      <c r="U250">
        <f>IF(frame_units!E247&lt;&gt;"",frame_units!E247,NA())</f>
        <v/>
      </c>
      <c r="V250">
        <f>IF(frame_units!E247&lt;&gt;"",frame_units!F247,NA())</f>
        <v/>
      </c>
    </row>
    <row r="251">
      <c r="U251">
        <f>IF(frame_units!E248&lt;&gt;"",frame_units!E248,NA())</f>
        <v/>
      </c>
      <c r="V251">
        <f>IF(frame_units!E248&lt;&gt;"",frame_units!F248,NA())</f>
        <v/>
      </c>
    </row>
    <row r="252">
      <c r="U252">
        <f>IF(frame_units!E249&lt;&gt;"",frame_units!E249,NA())</f>
        <v/>
      </c>
      <c r="V252">
        <f>IF(frame_units!E249&lt;&gt;"",frame_units!F249,NA())</f>
        <v/>
      </c>
    </row>
    <row r="253">
      <c r="U253">
        <f>IF(frame_units!E250&lt;&gt;"",frame_units!E250,NA())</f>
        <v/>
      </c>
      <c r="V253">
        <f>IF(frame_units!E250&lt;&gt;"",frame_units!F250,NA())</f>
        <v/>
      </c>
    </row>
    <row r="254">
      <c r="U254">
        <f>IF(frame_units!E251&lt;&gt;"",frame_units!E251,NA())</f>
        <v/>
      </c>
      <c r="V254">
        <f>IF(frame_units!E251&lt;&gt;"",frame_units!F251,NA())</f>
        <v/>
      </c>
    </row>
    <row r="255">
      <c r="U255">
        <f>IF(frame_units!E252&lt;&gt;"",frame_units!E252,NA())</f>
        <v/>
      </c>
      <c r="V255">
        <f>IF(frame_units!E252&lt;&gt;"",frame_units!F252,NA())</f>
        <v/>
      </c>
    </row>
    <row r="256">
      <c r="U256">
        <f>IF(frame_units!E253&lt;&gt;"",frame_units!E253,NA())</f>
        <v/>
      </c>
      <c r="V256">
        <f>IF(frame_units!E253&lt;&gt;"",frame_units!F253,NA())</f>
        <v/>
      </c>
    </row>
    <row r="257">
      <c r="U257">
        <f>IF(frame_units!E254&lt;&gt;"",frame_units!E254,NA())</f>
        <v/>
      </c>
      <c r="V257">
        <f>IF(frame_units!E254&lt;&gt;"",frame_units!F254,NA())</f>
        <v/>
      </c>
    </row>
    <row r="258">
      <c r="U258">
        <f>IF(frame_units!E255&lt;&gt;"",frame_units!E255,NA())</f>
        <v/>
      </c>
      <c r="V258">
        <f>IF(frame_units!E255&lt;&gt;"",frame_units!F255,NA())</f>
        <v/>
      </c>
    </row>
    <row r="259">
      <c r="U259">
        <f>IF(frame_units!E256&lt;&gt;"",frame_units!E256,NA())</f>
        <v/>
      </c>
      <c r="V259">
        <f>IF(frame_units!E256&lt;&gt;"",frame_units!F256,NA())</f>
        <v/>
      </c>
    </row>
    <row r="260">
      <c r="U260">
        <f>IF(frame_units!E257&lt;&gt;"",frame_units!E257,NA())</f>
        <v/>
      </c>
      <c r="V260">
        <f>IF(frame_units!E257&lt;&gt;"",frame_units!F257,NA())</f>
        <v/>
      </c>
    </row>
    <row r="261">
      <c r="U261">
        <f>IF(frame_units!E258&lt;&gt;"",frame_units!E258,NA())</f>
        <v/>
      </c>
      <c r="V261">
        <f>IF(frame_units!E258&lt;&gt;"",frame_units!F258,NA())</f>
        <v/>
      </c>
    </row>
    <row r="262">
      <c r="U262">
        <f>IF(frame_units!E259&lt;&gt;"",frame_units!E259,NA())</f>
        <v/>
      </c>
      <c r="V262">
        <f>IF(frame_units!E259&lt;&gt;"",frame_units!F259,NA())</f>
        <v/>
      </c>
    </row>
    <row r="263">
      <c r="U263">
        <f>IF(frame_units!E260&lt;&gt;"",frame_units!E260,NA())</f>
        <v/>
      </c>
      <c r="V263">
        <f>IF(frame_units!E260&lt;&gt;"",frame_units!F260,NA())</f>
        <v/>
      </c>
    </row>
    <row r="264">
      <c r="U264">
        <f>IF(frame_units!E261&lt;&gt;"",frame_units!E261,NA())</f>
        <v/>
      </c>
      <c r="V264">
        <f>IF(frame_units!E261&lt;&gt;"",frame_units!F261,NA())</f>
        <v/>
      </c>
    </row>
    <row r="265">
      <c r="U265">
        <f>IF(frame_units!E262&lt;&gt;"",frame_units!E262,NA())</f>
        <v/>
      </c>
      <c r="V265">
        <f>IF(frame_units!E262&lt;&gt;"",frame_units!F262,NA())</f>
        <v/>
      </c>
    </row>
    <row r="266">
      <c r="U266">
        <f>IF(frame_units!E263&lt;&gt;"",frame_units!E263,NA())</f>
        <v/>
      </c>
      <c r="V266">
        <f>IF(frame_units!E263&lt;&gt;"",frame_units!F263,NA())</f>
        <v/>
      </c>
    </row>
    <row r="267">
      <c r="U267">
        <f>IF(frame_units!E264&lt;&gt;"",frame_units!E264,NA())</f>
        <v/>
      </c>
      <c r="V267">
        <f>IF(frame_units!E264&lt;&gt;"",frame_units!F264,NA())</f>
        <v/>
      </c>
    </row>
    <row r="268">
      <c r="U268">
        <f>IF(frame_units!E265&lt;&gt;"",frame_units!E265,NA())</f>
        <v/>
      </c>
      <c r="V268">
        <f>IF(frame_units!E265&lt;&gt;"",frame_units!F265,NA())</f>
        <v/>
      </c>
    </row>
    <row r="269">
      <c r="U269">
        <f>IF(frame_units!E266&lt;&gt;"",frame_units!E266,NA())</f>
        <v/>
      </c>
      <c r="V269">
        <f>IF(frame_units!E266&lt;&gt;"",frame_units!F266,NA())</f>
        <v/>
      </c>
    </row>
    <row r="270">
      <c r="U270">
        <f>IF(frame_units!E267&lt;&gt;"",frame_units!E267,NA())</f>
        <v/>
      </c>
      <c r="V270">
        <f>IF(frame_units!E267&lt;&gt;"",frame_units!F267,NA())</f>
        <v/>
      </c>
    </row>
    <row r="271">
      <c r="U271">
        <f>IF(frame_units!E268&lt;&gt;"",frame_units!E268,NA())</f>
        <v/>
      </c>
      <c r="V271">
        <f>IF(frame_units!E268&lt;&gt;"",frame_units!F268,NA())</f>
        <v/>
      </c>
    </row>
    <row r="272">
      <c r="U272">
        <f>IF(frame_units!E269&lt;&gt;"",frame_units!E269,NA())</f>
        <v/>
      </c>
      <c r="V272">
        <f>IF(frame_units!E269&lt;&gt;"",frame_units!F269,NA())</f>
        <v/>
      </c>
    </row>
    <row r="273">
      <c r="U273">
        <f>IF(frame_units!E270&lt;&gt;"",frame_units!E270,NA())</f>
        <v/>
      </c>
      <c r="V273">
        <f>IF(frame_units!E270&lt;&gt;"",frame_units!F270,NA())</f>
        <v/>
      </c>
    </row>
    <row r="274">
      <c r="U274">
        <f>IF(frame_units!E271&lt;&gt;"",frame_units!E271,NA())</f>
        <v/>
      </c>
      <c r="V274">
        <f>IF(frame_units!E271&lt;&gt;"",frame_units!F271,NA())</f>
        <v/>
      </c>
    </row>
    <row r="275">
      <c r="U275">
        <f>IF(frame_units!E272&lt;&gt;"",frame_units!E272,NA())</f>
        <v/>
      </c>
      <c r="V275">
        <f>IF(frame_units!E272&lt;&gt;"",frame_units!F272,NA())</f>
        <v/>
      </c>
    </row>
    <row r="276">
      <c r="U276">
        <f>IF(frame_units!E273&lt;&gt;"",frame_units!E273,NA())</f>
        <v/>
      </c>
      <c r="V276">
        <f>IF(frame_units!E273&lt;&gt;"",frame_units!F273,NA())</f>
        <v/>
      </c>
    </row>
    <row r="277">
      <c r="U277">
        <f>IF(frame_units!E274&lt;&gt;"",frame_units!E274,NA())</f>
        <v/>
      </c>
      <c r="V277">
        <f>IF(frame_units!E274&lt;&gt;"",frame_units!F274,NA())</f>
        <v/>
      </c>
    </row>
    <row r="278">
      <c r="U278">
        <f>IF(frame_units!E275&lt;&gt;"",frame_units!E275,NA())</f>
        <v/>
      </c>
      <c r="V278">
        <f>IF(frame_units!E275&lt;&gt;"",frame_units!F275,NA())</f>
        <v/>
      </c>
    </row>
    <row r="279">
      <c r="U279">
        <f>IF(frame_units!E276&lt;&gt;"",frame_units!E276,NA())</f>
        <v/>
      </c>
      <c r="V279">
        <f>IF(frame_units!E276&lt;&gt;"",frame_units!F276,NA())</f>
        <v/>
      </c>
    </row>
    <row r="280">
      <c r="U280">
        <f>IF(frame_units!E277&lt;&gt;"",frame_units!E277,NA())</f>
        <v/>
      </c>
      <c r="V280">
        <f>IF(frame_units!E277&lt;&gt;"",frame_units!F277,NA())</f>
        <v/>
      </c>
    </row>
    <row r="281">
      <c r="U281">
        <f>IF(frame_units!E278&lt;&gt;"",frame_units!E278,NA())</f>
        <v/>
      </c>
      <c r="V281">
        <f>IF(frame_units!E278&lt;&gt;"",frame_units!F278,NA())</f>
        <v/>
      </c>
    </row>
    <row r="282">
      <c r="U282">
        <f>IF(frame_units!E279&lt;&gt;"",frame_units!E279,NA())</f>
        <v/>
      </c>
      <c r="V282">
        <f>IF(frame_units!E279&lt;&gt;"",frame_units!F279,NA())</f>
        <v/>
      </c>
    </row>
    <row r="283">
      <c r="U283">
        <f>IF(frame_units!E280&lt;&gt;"",frame_units!E280,NA())</f>
        <v/>
      </c>
      <c r="V283">
        <f>IF(frame_units!E280&lt;&gt;"",frame_units!F280,NA())</f>
        <v/>
      </c>
    </row>
    <row r="284">
      <c r="U284">
        <f>IF(frame_units!E281&lt;&gt;"",frame_units!E281,NA())</f>
        <v/>
      </c>
      <c r="V284">
        <f>IF(frame_units!E281&lt;&gt;"",frame_units!F281,NA())</f>
        <v/>
      </c>
    </row>
    <row r="285">
      <c r="U285">
        <f>IF(frame_units!E282&lt;&gt;"",frame_units!E282,NA())</f>
        <v/>
      </c>
      <c r="V285">
        <f>IF(frame_units!E282&lt;&gt;"",frame_units!F282,NA())</f>
        <v/>
      </c>
    </row>
    <row r="286">
      <c r="U286">
        <f>IF(frame_units!E283&lt;&gt;"",frame_units!E283,NA())</f>
        <v/>
      </c>
      <c r="V286">
        <f>IF(frame_units!E283&lt;&gt;"",frame_units!F283,NA())</f>
        <v/>
      </c>
    </row>
    <row r="287">
      <c r="U287">
        <f>IF(frame_units!E284&lt;&gt;"",frame_units!E284,NA())</f>
        <v/>
      </c>
      <c r="V287">
        <f>IF(frame_units!E284&lt;&gt;"",frame_units!F284,NA())</f>
        <v/>
      </c>
    </row>
    <row r="288">
      <c r="U288">
        <f>IF(frame_units!E285&lt;&gt;"",frame_units!E285,NA())</f>
        <v/>
      </c>
      <c r="V288">
        <f>IF(frame_units!E285&lt;&gt;"",frame_units!F285,NA())</f>
        <v/>
      </c>
    </row>
    <row r="289">
      <c r="U289">
        <f>IF(frame_units!E286&lt;&gt;"",frame_units!E286,NA())</f>
        <v/>
      </c>
      <c r="V289">
        <f>IF(frame_units!E286&lt;&gt;"",frame_units!F286,NA())</f>
        <v/>
      </c>
    </row>
    <row r="290">
      <c r="U290">
        <f>IF(frame_units!E287&lt;&gt;"",frame_units!E287,NA())</f>
        <v/>
      </c>
      <c r="V290">
        <f>IF(frame_units!E287&lt;&gt;"",frame_units!F287,NA())</f>
        <v/>
      </c>
    </row>
    <row r="291">
      <c r="U291">
        <f>IF(frame_units!E288&lt;&gt;"",frame_units!E288,NA())</f>
        <v/>
      </c>
      <c r="V291">
        <f>IF(frame_units!E288&lt;&gt;"",frame_units!F288,NA())</f>
        <v/>
      </c>
    </row>
    <row r="292">
      <c r="U292">
        <f>IF(frame_units!E289&lt;&gt;"",frame_units!E289,NA())</f>
        <v/>
      </c>
      <c r="V292">
        <f>IF(frame_units!E289&lt;&gt;"",frame_units!F289,NA())</f>
        <v/>
      </c>
    </row>
    <row r="293">
      <c r="U293">
        <f>IF(frame_units!E290&lt;&gt;"",frame_units!E290,NA())</f>
        <v/>
      </c>
      <c r="V293">
        <f>IF(frame_units!E290&lt;&gt;"",frame_units!F290,NA())</f>
        <v/>
      </c>
    </row>
    <row r="294">
      <c r="U294">
        <f>IF(frame_units!E291&lt;&gt;"",frame_units!E291,NA())</f>
        <v/>
      </c>
      <c r="V294">
        <f>IF(frame_units!E291&lt;&gt;"",frame_units!F291,NA())</f>
        <v/>
      </c>
    </row>
    <row r="295">
      <c r="U295">
        <f>IF(frame_units!E292&lt;&gt;"",frame_units!E292,NA())</f>
        <v/>
      </c>
      <c r="V295">
        <f>IF(frame_units!E292&lt;&gt;"",frame_units!F292,NA())</f>
        <v/>
      </c>
    </row>
    <row r="296">
      <c r="U296">
        <f>IF(frame_units!E293&lt;&gt;"",frame_units!E293,NA())</f>
        <v/>
      </c>
      <c r="V296">
        <f>IF(frame_units!E293&lt;&gt;"",frame_units!F293,NA())</f>
        <v/>
      </c>
    </row>
    <row r="297">
      <c r="U297">
        <f>IF(frame_units!E294&lt;&gt;"",frame_units!E294,NA())</f>
        <v/>
      </c>
      <c r="V297">
        <f>IF(frame_units!E294&lt;&gt;"",frame_units!F294,NA())</f>
        <v/>
      </c>
    </row>
    <row r="298">
      <c r="U298">
        <f>IF(frame_units!E295&lt;&gt;"",frame_units!E295,NA())</f>
        <v/>
      </c>
      <c r="V298">
        <f>IF(frame_units!E295&lt;&gt;"",frame_units!F295,NA())</f>
        <v/>
      </c>
    </row>
    <row r="299">
      <c r="U299">
        <f>IF(frame_units!E296&lt;&gt;"",frame_units!E296,NA())</f>
        <v/>
      </c>
      <c r="V299">
        <f>IF(frame_units!E296&lt;&gt;"",frame_units!F296,NA())</f>
        <v/>
      </c>
    </row>
    <row r="300">
      <c r="U300">
        <f>IF(frame_units!E297&lt;&gt;"",frame_units!E297,NA())</f>
        <v/>
      </c>
      <c r="V300">
        <f>IF(frame_units!E297&lt;&gt;"",frame_units!F297,NA())</f>
        <v/>
      </c>
    </row>
    <row r="301">
      <c r="U301">
        <f>IF(frame_units!E298&lt;&gt;"",frame_units!E298,NA())</f>
        <v/>
      </c>
      <c r="V301">
        <f>IF(frame_units!E298&lt;&gt;"",frame_units!F298,NA())</f>
        <v/>
      </c>
    </row>
    <row r="302">
      <c r="U302">
        <f>IF(frame_units!E299&lt;&gt;"",frame_units!E299,NA())</f>
        <v/>
      </c>
      <c r="V302">
        <f>IF(frame_units!E299&lt;&gt;"",frame_units!F299,NA())</f>
        <v/>
      </c>
    </row>
    <row r="303">
      <c r="U303">
        <f>IF(frame_units!E300&lt;&gt;"",frame_units!E300,NA())</f>
        <v/>
      </c>
      <c r="V303">
        <f>IF(frame_units!E300&lt;&gt;"",frame_units!F300,NA())</f>
        <v/>
      </c>
    </row>
    <row r="304">
      <c r="U304">
        <f>IF(frame_units!E301&lt;&gt;"",frame_units!E301,NA())</f>
        <v/>
      </c>
      <c r="V304">
        <f>IF(frame_units!E301&lt;&gt;"",frame_units!F301,NA())</f>
        <v/>
      </c>
    </row>
    <row r="305">
      <c r="U305">
        <f>IF(frame_units!E302&lt;&gt;"",frame_units!E302,NA())</f>
        <v/>
      </c>
      <c r="V305">
        <f>IF(frame_units!E302&lt;&gt;"",frame_units!F302,NA())</f>
        <v/>
      </c>
    </row>
    <row r="306">
      <c r="U306">
        <f>IF(frame_units!E303&lt;&gt;"",frame_units!E303,NA())</f>
        <v/>
      </c>
      <c r="V306">
        <f>IF(frame_units!E303&lt;&gt;"",frame_units!F303,NA())</f>
        <v/>
      </c>
    </row>
    <row r="307">
      <c r="U307">
        <f>IF(frame_units!E304&lt;&gt;"",frame_units!E304,NA())</f>
        <v/>
      </c>
      <c r="V307">
        <f>IF(frame_units!E304&lt;&gt;"",frame_units!F304,NA())</f>
        <v/>
      </c>
    </row>
    <row r="308">
      <c r="U308">
        <f>IF(frame_units!E305&lt;&gt;"",frame_units!E305,NA())</f>
        <v/>
      </c>
      <c r="V308">
        <f>IF(frame_units!E305&lt;&gt;"",frame_units!F305,NA())</f>
        <v/>
      </c>
    </row>
    <row r="309">
      <c r="U309">
        <f>IF(frame_units!E306&lt;&gt;"",frame_units!E306,NA())</f>
        <v/>
      </c>
      <c r="V309">
        <f>IF(frame_units!E306&lt;&gt;"",frame_units!F306,NA())</f>
        <v/>
      </c>
    </row>
    <row r="310">
      <c r="U310">
        <f>IF(frame_units!E307&lt;&gt;"",frame_units!E307,NA())</f>
        <v/>
      </c>
      <c r="V310">
        <f>IF(frame_units!E307&lt;&gt;"",frame_units!F307,NA())</f>
        <v/>
      </c>
    </row>
    <row r="311">
      <c r="U311">
        <f>IF(frame_units!E308&lt;&gt;"",frame_units!E308,NA())</f>
        <v/>
      </c>
      <c r="V311">
        <f>IF(frame_units!E308&lt;&gt;"",frame_units!F308,NA())</f>
        <v/>
      </c>
    </row>
    <row r="312">
      <c r="U312">
        <f>IF(frame_units!E309&lt;&gt;"",frame_units!E309,NA())</f>
        <v/>
      </c>
      <c r="V312">
        <f>IF(frame_units!E309&lt;&gt;"",frame_units!F309,NA())</f>
        <v/>
      </c>
    </row>
    <row r="313">
      <c r="U313">
        <f>IF(frame_units!E310&lt;&gt;"",frame_units!E310,NA())</f>
        <v/>
      </c>
      <c r="V313">
        <f>IF(frame_units!E310&lt;&gt;"",frame_units!F310,NA())</f>
        <v/>
      </c>
    </row>
    <row r="314">
      <c r="U314">
        <f>IF(frame_units!E311&lt;&gt;"",frame_units!E311,NA())</f>
        <v/>
      </c>
      <c r="V314">
        <f>IF(frame_units!E311&lt;&gt;"",frame_units!F311,NA())</f>
        <v/>
      </c>
    </row>
    <row r="315">
      <c r="U315">
        <f>IF(frame_units!E312&lt;&gt;"",frame_units!E312,NA())</f>
        <v/>
      </c>
      <c r="V315">
        <f>IF(frame_units!E312&lt;&gt;"",frame_units!F312,NA())</f>
        <v/>
      </c>
    </row>
    <row r="316">
      <c r="U316">
        <f>IF(frame_units!E313&lt;&gt;"",frame_units!E313,NA())</f>
        <v/>
      </c>
      <c r="V316">
        <f>IF(frame_units!E313&lt;&gt;"",frame_units!F313,NA())</f>
        <v/>
      </c>
    </row>
    <row r="317">
      <c r="U317">
        <f>IF(frame_units!E314&lt;&gt;"",frame_units!E314,NA())</f>
        <v/>
      </c>
      <c r="V317">
        <f>IF(frame_units!E314&lt;&gt;"",frame_units!F314,NA())</f>
        <v/>
      </c>
    </row>
    <row r="318">
      <c r="U318">
        <f>IF(frame_units!E315&lt;&gt;"",frame_units!E315,NA())</f>
        <v/>
      </c>
      <c r="V318">
        <f>IF(frame_units!E315&lt;&gt;"",frame_units!F315,NA())</f>
        <v/>
      </c>
    </row>
    <row r="319">
      <c r="U319">
        <f>IF(frame_units!E316&lt;&gt;"",frame_units!E316,NA())</f>
        <v/>
      </c>
      <c r="V319">
        <f>IF(frame_units!E316&lt;&gt;"",frame_units!F316,NA())</f>
        <v/>
      </c>
    </row>
    <row r="320">
      <c r="U320">
        <f>IF(frame_units!E317&lt;&gt;"",frame_units!E317,NA())</f>
        <v/>
      </c>
      <c r="V320">
        <f>IF(frame_units!E317&lt;&gt;"",frame_units!F317,NA())</f>
        <v/>
      </c>
    </row>
    <row r="321">
      <c r="U321">
        <f>IF(frame_units!E318&lt;&gt;"",frame_units!E318,NA())</f>
        <v/>
      </c>
      <c r="V321">
        <f>IF(frame_units!E318&lt;&gt;"",frame_units!F318,NA())</f>
        <v/>
      </c>
    </row>
    <row r="322">
      <c r="U322">
        <f>IF(frame_units!E319&lt;&gt;"",frame_units!E319,NA())</f>
        <v/>
      </c>
      <c r="V322">
        <f>IF(frame_units!E319&lt;&gt;"",frame_units!F319,NA())</f>
        <v/>
      </c>
    </row>
    <row r="323">
      <c r="U323">
        <f>IF(frame_units!E320&lt;&gt;"",frame_units!E320,NA())</f>
        <v/>
      </c>
      <c r="V323">
        <f>IF(frame_units!E320&lt;&gt;"",frame_units!F320,NA())</f>
        <v/>
      </c>
    </row>
    <row r="324">
      <c r="U324">
        <f>IF(frame_units!E321&lt;&gt;"",frame_units!E321,NA())</f>
        <v/>
      </c>
      <c r="V324">
        <f>IF(frame_units!E321&lt;&gt;"",frame_units!F321,NA())</f>
        <v/>
      </c>
    </row>
    <row r="325">
      <c r="U325">
        <f>IF(frame_units!E322&lt;&gt;"",frame_units!E322,NA())</f>
        <v/>
      </c>
      <c r="V325">
        <f>IF(frame_units!E322&lt;&gt;"",frame_units!F322,NA())</f>
        <v/>
      </c>
    </row>
    <row r="326">
      <c r="U326">
        <f>IF(frame_units!E323&lt;&gt;"",frame_units!E323,NA())</f>
        <v/>
      </c>
      <c r="V326">
        <f>IF(frame_units!E323&lt;&gt;"",frame_units!F323,NA())</f>
        <v/>
      </c>
    </row>
    <row r="327">
      <c r="U327">
        <f>IF(frame_units!E324&lt;&gt;"",frame_units!E324,NA())</f>
        <v/>
      </c>
      <c r="V327">
        <f>IF(frame_units!E324&lt;&gt;"",frame_units!F324,NA())</f>
        <v/>
      </c>
    </row>
    <row r="328">
      <c r="U328">
        <f>IF(frame_units!E325&lt;&gt;"",frame_units!E325,NA())</f>
        <v/>
      </c>
      <c r="V328">
        <f>IF(frame_units!E325&lt;&gt;"",frame_units!F325,NA())</f>
        <v/>
      </c>
    </row>
    <row r="329">
      <c r="U329">
        <f>IF(frame_units!E326&lt;&gt;"",frame_units!E326,NA())</f>
        <v/>
      </c>
      <c r="V329">
        <f>IF(frame_units!E326&lt;&gt;"",frame_units!F326,NA())</f>
        <v/>
      </c>
    </row>
    <row r="330">
      <c r="U330">
        <f>IF(frame_units!E327&lt;&gt;"",frame_units!E327,NA())</f>
        <v/>
      </c>
      <c r="V330">
        <f>IF(frame_units!E327&lt;&gt;"",frame_units!F327,NA())</f>
        <v/>
      </c>
    </row>
    <row r="331">
      <c r="U331">
        <f>IF(frame_units!E328&lt;&gt;"",frame_units!E328,NA())</f>
        <v/>
      </c>
      <c r="V331">
        <f>IF(frame_units!E328&lt;&gt;"",frame_units!F328,NA())</f>
        <v/>
      </c>
    </row>
    <row r="332">
      <c r="U332">
        <f>IF(frame_units!E329&lt;&gt;"",frame_units!E329,NA())</f>
        <v/>
      </c>
      <c r="V332">
        <f>IF(frame_units!E329&lt;&gt;"",frame_units!F329,NA())</f>
        <v/>
      </c>
    </row>
    <row r="333">
      <c r="U333">
        <f>IF(frame_units!E330&lt;&gt;"",frame_units!E330,NA())</f>
        <v/>
      </c>
      <c r="V333">
        <f>IF(frame_units!E330&lt;&gt;"",frame_units!F330,NA())</f>
        <v/>
      </c>
    </row>
    <row r="334">
      <c r="U334">
        <f>IF(frame_units!E331&lt;&gt;"",frame_units!E331,NA())</f>
        <v/>
      </c>
      <c r="V334">
        <f>IF(frame_units!E331&lt;&gt;"",frame_units!F331,NA())</f>
        <v/>
      </c>
    </row>
    <row r="335">
      <c r="U335">
        <f>IF(frame_units!E332&lt;&gt;"",frame_units!E332,NA())</f>
        <v/>
      </c>
      <c r="V335">
        <f>IF(frame_units!E332&lt;&gt;"",frame_units!F332,NA())</f>
        <v/>
      </c>
    </row>
    <row r="336">
      <c r="U336">
        <f>IF(frame_units!E333&lt;&gt;"",frame_units!E333,NA())</f>
        <v/>
      </c>
      <c r="V336">
        <f>IF(frame_units!E333&lt;&gt;"",frame_units!F333,NA())</f>
        <v/>
      </c>
    </row>
    <row r="337">
      <c r="U337">
        <f>IF(frame_units!E334&lt;&gt;"",frame_units!E334,NA())</f>
        <v/>
      </c>
      <c r="V337">
        <f>IF(frame_units!E334&lt;&gt;"",frame_units!F334,NA())</f>
        <v/>
      </c>
    </row>
    <row r="338">
      <c r="U338">
        <f>IF(frame_units!E335&lt;&gt;"",frame_units!E335,NA())</f>
        <v/>
      </c>
      <c r="V338">
        <f>IF(frame_units!E335&lt;&gt;"",frame_units!F335,NA())</f>
        <v/>
      </c>
    </row>
    <row r="339">
      <c r="U339">
        <f>IF(frame_units!E336&lt;&gt;"",frame_units!E336,NA())</f>
        <v/>
      </c>
      <c r="V339">
        <f>IF(frame_units!E336&lt;&gt;"",frame_units!F336,NA())</f>
        <v/>
      </c>
    </row>
    <row r="340">
      <c r="U340">
        <f>IF(frame_units!E337&lt;&gt;"",frame_units!E337,NA())</f>
        <v/>
      </c>
      <c r="V340">
        <f>IF(frame_units!E337&lt;&gt;"",frame_units!F337,NA())</f>
        <v/>
      </c>
    </row>
    <row r="341">
      <c r="U341">
        <f>IF(frame_units!E338&lt;&gt;"",frame_units!E338,NA())</f>
        <v/>
      </c>
      <c r="V341">
        <f>IF(frame_units!E338&lt;&gt;"",frame_units!F338,NA())</f>
        <v/>
      </c>
    </row>
    <row r="342">
      <c r="U342">
        <f>IF(frame_units!E339&lt;&gt;"",frame_units!E339,NA())</f>
        <v/>
      </c>
      <c r="V342">
        <f>IF(frame_units!E339&lt;&gt;"",frame_units!F339,NA())</f>
        <v/>
      </c>
    </row>
    <row r="343">
      <c r="U343">
        <f>IF(frame_units!E340&lt;&gt;"",frame_units!E340,NA())</f>
        <v/>
      </c>
      <c r="V343">
        <f>IF(frame_units!E340&lt;&gt;"",frame_units!F340,NA())</f>
        <v/>
      </c>
    </row>
    <row r="344">
      <c r="U344">
        <f>IF(frame_units!E341&lt;&gt;"",frame_units!E341,NA())</f>
        <v/>
      </c>
      <c r="V344">
        <f>IF(frame_units!E341&lt;&gt;"",frame_units!F341,NA())</f>
        <v/>
      </c>
    </row>
    <row r="345">
      <c r="U345">
        <f>IF(frame_units!E342&lt;&gt;"",frame_units!E342,NA())</f>
        <v/>
      </c>
      <c r="V345">
        <f>IF(frame_units!E342&lt;&gt;"",frame_units!F342,NA())</f>
        <v/>
      </c>
    </row>
    <row r="346">
      <c r="U346">
        <f>IF(frame_units!E343&lt;&gt;"",frame_units!E343,NA())</f>
        <v/>
      </c>
      <c r="V346">
        <f>IF(frame_units!E343&lt;&gt;"",frame_units!F343,NA())</f>
        <v/>
      </c>
    </row>
    <row r="347">
      <c r="U347">
        <f>IF(frame_units!E344&lt;&gt;"",frame_units!E344,NA())</f>
        <v/>
      </c>
      <c r="V347">
        <f>IF(frame_units!E344&lt;&gt;"",frame_units!F344,NA())</f>
        <v/>
      </c>
    </row>
    <row r="348">
      <c r="U348">
        <f>IF(frame_units!E345&lt;&gt;"",frame_units!E345,NA())</f>
        <v/>
      </c>
      <c r="V348">
        <f>IF(frame_units!E345&lt;&gt;"",frame_units!F345,NA())</f>
        <v/>
      </c>
    </row>
    <row r="349">
      <c r="U349">
        <f>IF(frame_units!E346&lt;&gt;"",frame_units!E346,NA())</f>
        <v/>
      </c>
      <c r="V349">
        <f>IF(frame_units!E346&lt;&gt;"",frame_units!F346,NA())</f>
        <v/>
      </c>
    </row>
    <row r="350">
      <c r="U350">
        <f>IF(frame_units!E347&lt;&gt;"",frame_units!E347,NA())</f>
        <v/>
      </c>
      <c r="V350">
        <f>IF(frame_units!E347&lt;&gt;"",frame_units!F347,NA())</f>
        <v/>
      </c>
    </row>
    <row r="351">
      <c r="U351">
        <f>IF(frame_units!E348&lt;&gt;"",frame_units!E348,NA())</f>
        <v/>
      </c>
      <c r="V351">
        <f>IF(frame_units!E348&lt;&gt;"",frame_units!F348,NA())</f>
        <v/>
      </c>
    </row>
    <row r="352">
      <c r="U352">
        <f>IF(frame_units!E349&lt;&gt;"",frame_units!E349,NA())</f>
        <v/>
      </c>
      <c r="V352">
        <f>IF(frame_units!E349&lt;&gt;"",frame_units!F349,NA())</f>
        <v/>
      </c>
    </row>
    <row r="353">
      <c r="U353">
        <f>IF(frame_units!E350&lt;&gt;"",frame_units!E350,NA())</f>
        <v/>
      </c>
      <c r="V353">
        <f>IF(frame_units!E350&lt;&gt;"",frame_units!F350,NA())</f>
        <v/>
      </c>
    </row>
    <row r="354">
      <c r="U354">
        <f>IF(frame_units!E351&lt;&gt;"",frame_units!E351,NA())</f>
        <v/>
      </c>
      <c r="V354">
        <f>IF(frame_units!E351&lt;&gt;"",frame_units!F351,NA())</f>
        <v/>
      </c>
    </row>
    <row r="355">
      <c r="U355">
        <f>IF(frame_units!E352&lt;&gt;"",frame_units!E352,NA())</f>
        <v/>
      </c>
      <c r="V355">
        <f>IF(frame_units!E352&lt;&gt;"",frame_units!F352,NA())</f>
        <v/>
      </c>
    </row>
    <row r="356">
      <c r="U356">
        <f>IF(frame_units!E353&lt;&gt;"",frame_units!E353,NA())</f>
        <v/>
      </c>
      <c r="V356">
        <f>IF(frame_units!E353&lt;&gt;"",frame_units!F353,NA())</f>
        <v/>
      </c>
    </row>
    <row r="357">
      <c r="U357">
        <f>IF(frame_units!E354&lt;&gt;"",frame_units!E354,NA())</f>
        <v/>
      </c>
      <c r="V357">
        <f>IF(frame_units!E354&lt;&gt;"",frame_units!F354,NA())</f>
        <v/>
      </c>
    </row>
    <row r="358">
      <c r="U358">
        <f>IF(frame_units!E355&lt;&gt;"",frame_units!E355,NA())</f>
        <v/>
      </c>
      <c r="V358">
        <f>IF(frame_units!E355&lt;&gt;"",frame_units!F355,NA())</f>
        <v/>
      </c>
    </row>
    <row r="359">
      <c r="U359">
        <f>IF(frame_units!E356&lt;&gt;"",frame_units!E356,NA())</f>
        <v/>
      </c>
      <c r="V359">
        <f>IF(frame_units!E356&lt;&gt;"",frame_units!F356,NA())</f>
        <v/>
      </c>
    </row>
    <row r="360">
      <c r="U360">
        <f>IF(frame_units!E357&lt;&gt;"",frame_units!E357,NA())</f>
        <v/>
      </c>
      <c r="V360">
        <f>IF(frame_units!E357&lt;&gt;"",frame_units!F357,NA())</f>
        <v/>
      </c>
    </row>
    <row r="361">
      <c r="U361">
        <f>IF(frame_units!E358&lt;&gt;"",frame_units!E358,NA())</f>
        <v/>
      </c>
      <c r="V361">
        <f>IF(frame_units!E358&lt;&gt;"",frame_units!F358,NA())</f>
        <v/>
      </c>
    </row>
    <row r="362">
      <c r="U362">
        <f>IF(frame_units!E359&lt;&gt;"",frame_units!E359,NA())</f>
        <v/>
      </c>
      <c r="V362">
        <f>IF(frame_units!E359&lt;&gt;"",frame_units!F359,NA())</f>
        <v/>
      </c>
    </row>
    <row r="363">
      <c r="U363">
        <f>IF(frame_units!E360&lt;&gt;"",frame_units!E360,NA())</f>
        <v/>
      </c>
      <c r="V363">
        <f>IF(frame_units!E360&lt;&gt;"",frame_units!F360,NA())</f>
        <v/>
      </c>
    </row>
    <row r="364">
      <c r="U364">
        <f>IF(frame_units!E361&lt;&gt;"",frame_units!E361,NA())</f>
        <v/>
      </c>
      <c r="V364">
        <f>IF(frame_units!E361&lt;&gt;"",frame_units!F361,NA())</f>
        <v/>
      </c>
    </row>
    <row r="365">
      <c r="U365">
        <f>IF(frame_units!E362&lt;&gt;"",frame_units!E362,NA())</f>
        <v/>
      </c>
      <c r="V365">
        <f>IF(frame_units!E362&lt;&gt;"",frame_units!F362,NA())</f>
        <v/>
      </c>
    </row>
    <row r="366">
      <c r="U366">
        <f>IF(frame_units!E363&lt;&gt;"",frame_units!E363,NA())</f>
        <v/>
      </c>
      <c r="V366">
        <f>IF(frame_units!E363&lt;&gt;"",frame_units!F363,NA())</f>
        <v/>
      </c>
    </row>
    <row r="367">
      <c r="U367">
        <f>IF(frame_units!E364&lt;&gt;"",frame_units!E364,NA())</f>
        <v/>
      </c>
      <c r="V367">
        <f>IF(frame_units!E364&lt;&gt;"",frame_units!F364,NA())</f>
        <v/>
      </c>
    </row>
    <row r="368">
      <c r="U368">
        <f>IF(frame_units!E365&lt;&gt;"",frame_units!E365,NA())</f>
        <v/>
      </c>
      <c r="V368">
        <f>IF(frame_units!E365&lt;&gt;"",frame_units!F365,NA())</f>
        <v/>
      </c>
    </row>
    <row r="369">
      <c r="U369">
        <f>IF(frame_units!E366&lt;&gt;"",frame_units!E366,NA())</f>
        <v/>
      </c>
      <c r="V369">
        <f>IF(frame_units!E366&lt;&gt;"",frame_units!F366,NA())</f>
        <v/>
      </c>
    </row>
    <row r="370">
      <c r="U370">
        <f>IF(frame_units!E367&lt;&gt;"",frame_units!E367,NA())</f>
        <v/>
      </c>
      <c r="V370">
        <f>IF(frame_units!E367&lt;&gt;"",frame_units!F367,NA())</f>
        <v/>
      </c>
    </row>
    <row r="371">
      <c r="U371">
        <f>IF(frame_units!E368&lt;&gt;"",frame_units!E368,NA())</f>
        <v/>
      </c>
      <c r="V371">
        <f>IF(frame_units!E368&lt;&gt;"",frame_units!F368,NA())</f>
        <v/>
      </c>
    </row>
    <row r="372">
      <c r="U372">
        <f>IF(frame_units!E369&lt;&gt;"",frame_units!E369,NA())</f>
        <v/>
      </c>
      <c r="V372">
        <f>IF(frame_units!E369&lt;&gt;"",frame_units!F369,NA())</f>
        <v/>
      </c>
    </row>
    <row r="373">
      <c r="U373">
        <f>IF(frame_units!E370&lt;&gt;"",frame_units!E370,NA())</f>
        <v/>
      </c>
      <c r="V373">
        <f>IF(frame_units!E370&lt;&gt;"",frame_units!F370,NA())</f>
        <v/>
      </c>
    </row>
    <row r="374">
      <c r="U374">
        <f>IF(frame_units!E371&lt;&gt;"",frame_units!E371,NA())</f>
        <v/>
      </c>
      <c r="V374">
        <f>IF(frame_units!E371&lt;&gt;"",frame_units!F371,NA())</f>
        <v/>
      </c>
    </row>
    <row r="375">
      <c r="U375">
        <f>IF(frame_units!E372&lt;&gt;"",frame_units!E372,NA())</f>
        <v/>
      </c>
      <c r="V375">
        <f>IF(frame_units!E372&lt;&gt;"",frame_units!F372,NA())</f>
        <v/>
      </c>
    </row>
    <row r="376">
      <c r="U376">
        <f>IF(frame_units!E373&lt;&gt;"",frame_units!E373,NA())</f>
        <v/>
      </c>
      <c r="V376">
        <f>IF(frame_units!E373&lt;&gt;"",frame_units!F373,NA())</f>
        <v/>
      </c>
    </row>
    <row r="377">
      <c r="U377">
        <f>IF(frame_units!E374&lt;&gt;"",frame_units!E374,NA())</f>
        <v/>
      </c>
      <c r="V377">
        <f>IF(frame_units!E374&lt;&gt;"",frame_units!F374,NA())</f>
        <v/>
      </c>
    </row>
    <row r="378">
      <c r="U378">
        <f>IF(frame_units!E375&lt;&gt;"",frame_units!E375,NA())</f>
        <v/>
      </c>
      <c r="V378">
        <f>IF(frame_units!E375&lt;&gt;"",frame_units!F375,NA())</f>
        <v/>
      </c>
    </row>
    <row r="379">
      <c r="U379">
        <f>IF(frame_units!E376&lt;&gt;"",frame_units!E376,NA())</f>
        <v/>
      </c>
      <c r="V379">
        <f>IF(frame_units!E376&lt;&gt;"",frame_units!F376,NA())</f>
        <v/>
      </c>
    </row>
    <row r="380">
      <c r="U380">
        <f>IF(frame_units!E377&lt;&gt;"",frame_units!E377,NA())</f>
        <v/>
      </c>
      <c r="V380">
        <f>IF(frame_units!E377&lt;&gt;"",frame_units!F377,NA())</f>
        <v/>
      </c>
    </row>
    <row r="381">
      <c r="U381">
        <f>IF(frame_units!E378&lt;&gt;"",frame_units!E378,NA())</f>
        <v/>
      </c>
      <c r="V381">
        <f>IF(frame_units!E378&lt;&gt;"",frame_units!F378,NA())</f>
        <v/>
      </c>
    </row>
    <row r="382">
      <c r="U382">
        <f>IF(frame_units!E379&lt;&gt;"",frame_units!E379,NA())</f>
        <v/>
      </c>
      <c r="V382">
        <f>IF(frame_units!E379&lt;&gt;"",frame_units!F379,NA())</f>
        <v/>
      </c>
    </row>
    <row r="383">
      <c r="U383">
        <f>IF(frame_units!E380&lt;&gt;"",frame_units!E380,NA())</f>
        <v/>
      </c>
      <c r="V383">
        <f>IF(frame_units!E380&lt;&gt;"",frame_units!F380,NA())</f>
        <v/>
      </c>
    </row>
    <row r="384">
      <c r="U384">
        <f>IF(frame_units!E381&lt;&gt;"",frame_units!E381,NA())</f>
        <v/>
      </c>
      <c r="V384">
        <f>IF(frame_units!E381&lt;&gt;"",frame_units!F381,NA())</f>
        <v/>
      </c>
    </row>
    <row r="385">
      <c r="U385">
        <f>IF(frame_units!E382&lt;&gt;"",frame_units!E382,NA())</f>
        <v/>
      </c>
      <c r="V385">
        <f>IF(frame_units!E382&lt;&gt;"",frame_units!F382,NA())</f>
        <v/>
      </c>
    </row>
    <row r="386">
      <c r="U386">
        <f>IF(frame_units!E383&lt;&gt;"",frame_units!E383,NA())</f>
        <v/>
      </c>
      <c r="V386">
        <f>IF(frame_units!E383&lt;&gt;"",frame_units!F383,NA())</f>
        <v/>
      </c>
    </row>
    <row r="387">
      <c r="U387">
        <f>IF(frame_units!E384&lt;&gt;"",frame_units!E384,NA())</f>
        <v/>
      </c>
      <c r="V387">
        <f>IF(frame_units!E384&lt;&gt;"",frame_units!F384,NA())</f>
        <v/>
      </c>
    </row>
    <row r="388">
      <c r="U388">
        <f>IF(frame_units!E385&lt;&gt;"",frame_units!E385,NA())</f>
        <v/>
      </c>
      <c r="V388">
        <f>IF(frame_units!E385&lt;&gt;"",frame_units!F385,NA())</f>
        <v/>
      </c>
    </row>
    <row r="389">
      <c r="U389">
        <f>IF(frame_units!E386&lt;&gt;"",frame_units!E386,NA())</f>
        <v/>
      </c>
      <c r="V389">
        <f>IF(frame_units!E386&lt;&gt;"",frame_units!F386,NA())</f>
        <v/>
      </c>
    </row>
    <row r="390">
      <c r="U390">
        <f>IF(frame_units!E387&lt;&gt;"",frame_units!E387,NA())</f>
        <v/>
      </c>
      <c r="V390">
        <f>IF(frame_units!E387&lt;&gt;"",frame_units!F387,NA())</f>
        <v/>
      </c>
    </row>
    <row r="391">
      <c r="U391">
        <f>IF(frame_units!E388&lt;&gt;"",frame_units!E388,NA())</f>
        <v/>
      </c>
      <c r="V391">
        <f>IF(frame_units!E388&lt;&gt;"",frame_units!F388,NA())</f>
        <v/>
      </c>
    </row>
    <row r="392">
      <c r="U392">
        <f>IF(frame_units!E389&lt;&gt;"",frame_units!E389,NA())</f>
        <v/>
      </c>
      <c r="V392">
        <f>IF(frame_units!E389&lt;&gt;"",frame_units!F389,NA())</f>
        <v/>
      </c>
    </row>
    <row r="393">
      <c r="U393">
        <f>IF(frame_units!E390&lt;&gt;"",frame_units!E390,NA())</f>
        <v/>
      </c>
      <c r="V393">
        <f>IF(frame_units!E390&lt;&gt;"",frame_units!F390,NA())</f>
        <v/>
      </c>
    </row>
    <row r="394">
      <c r="U394">
        <f>IF(frame_units!E391&lt;&gt;"",frame_units!E391,NA())</f>
        <v/>
      </c>
      <c r="V394">
        <f>IF(frame_units!E391&lt;&gt;"",frame_units!F391,NA())</f>
        <v/>
      </c>
    </row>
    <row r="395">
      <c r="U395">
        <f>IF(frame_units!E392&lt;&gt;"",frame_units!E392,NA())</f>
        <v/>
      </c>
      <c r="V395">
        <f>IF(frame_units!E392&lt;&gt;"",frame_units!F392,NA())</f>
        <v/>
      </c>
    </row>
    <row r="396">
      <c r="U396">
        <f>IF(frame_units!E393&lt;&gt;"",frame_units!E393,NA())</f>
        <v/>
      </c>
      <c r="V396">
        <f>IF(frame_units!E393&lt;&gt;"",frame_units!F393,NA())</f>
        <v/>
      </c>
    </row>
    <row r="397">
      <c r="U397">
        <f>IF(frame_units!E394&lt;&gt;"",frame_units!E394,NA())</f>
        <v/>
      </c>
      <c r="V397">
        <f>IF(frame_units!E394&lt;&gt;"",frame_units!F394,NA())</f>
        <v/>
      </c>
    </row>
    <row r="398">
      <c r="U398">
        <f>IF(frame_units!E395&lt;&gt;"",frame_units!E395,NA())</f>
        <v/>
      </c>
      <c r="V398">
        <f>IF(frame_units!E395&lt;&gt;"",frame_units!F395,NA())</f>
        <v/>
      </c>
    </row>
    <row r="399">
      <c r="U399">
        <f>IF(frame_units!E396&lt;&gt;"",frame_units!E396,NA())</f>
        <v/>
      </c>
      <c r="V399">
        <f>IF(frame_units!E396&lt;&gt;"",frame_units!F396,NA())</f>
        <v/>
      </c>
    </row>
    <row r="400">
      <c r="U400">
        <f>IF(frame_units!E397&lt;&gt;"",frame_units!E397,NA())</f>
        <v/>
      </c>
      <c r="V400">
        <f>IF(frame_units!E397&lt;&gt;"",frame_units!F397,NA())</f>
        <v/>
      </c>
    </row>
    <row r="401">
      <c r="U401">
        <f>IF(frame_units!E398&lt;&gt;"",frame_units!E398,NA())</f>
        <v/>
      </c>
      <c r="V401">
        <f>IF(frame_units!E398&lt;&gt;"",frame_units!F398,NA())</f>
        <v/>
      </c>
    </row>
    <row r="402">
      <c r="U402">
        <f>IF(frame_units!E399&lt;&gt;"",frame_units!E399,NA())</f>
        <v/>
      </c>
      <c r="V402">
        <f>IF(frame_units!E399&lt;&gt;"",frame_units!F399,NA())</f>
        <v/>
      </c>
    </row>
    <row r="403">
      <c r="U403">
        <f>IF(frame_units!E400&lt;&gt;"",frame_units!E400,NA())</f>
        <v/>
      </c>
      <c r="V403">
        <f>IF(frame_units!E400&lt;&gt;"",frame_units!F400,NA())</f>
        <v/>
      </c>
    </row>
    <row r="404">
      <c r="U404">
        <f>IF(frame_units!E401&lt;&gt;"",frame_units!E401,NA())</f>
        <v/>
      </c>
      <c r="V404">
        <f>IF(frame_units!E401&lt;&gt;"",frame_units!F401,NA())</f>
        <v/>
      </c>
    </row>
    <row r="405">
      <c r="U405">
        <f>IF(frame_units!E402&lt;&gt;"",frame_units!E402,NA())</f>
        <v/>
      </c>
      <c r="V405">
        <f>IF(frame_units!E402&lt;&gt;"",frame_units!F402,NA())</f>
        <v/>
      </c>
    </row>
    <row r="406">
      <c r="U406">
        <f>IF(frame_units!E403&lt;&gt;"",frame_units!E403,NA())</f>
        <v/>
      </c>
      <c r="V406">
        <f>IF(frame_units!E403&lt;&gt;"",frame_units!F403,NA())</f>
        <v/>
      </c>
    </row>
    <row r="407">
      <c r="U407">
        <f>IF(frame_units!E404&lt;&gt;"",frame_units!E404,NA())</f>
        <v/>
      </c>
      <c r="V407">
        <f>IF(frame_units!E404&lt;&gt;"",frame_units!F404,NA())</f>
        <v/>
      </c>
    </row>
    <row r="408">
      <c r="U408">
        <f>IF(frame_units!E405&lt;&gt;"",frame_units!E405,NA())</f>
        <v/>
      </c>
      <c r="V408">
        <f>IF(frame_units!E405&lt;&gt;"",frame_units!F405,NA())</f>
        <v/>
      </c>
    </row>
    <row r="409">
      <c r="U409">
        <f>IF(frame_units!E406&lt;&gt;"",frame_units!E406,NA())</f>
        <v/>
      </c>
      <c r="V409">
        <f>IF(frame_units!E406&lt;&gt;"",frame_units!F406,NA())</f>
        <v/>
      </c>
    </row>
    <row r="410">
      <c r="U410">
        <f>IF(frame_units!E407&lt;&gt;"",frame_units!E407,NA())</f>
        <v/>
      </c>
      <c r="V410">
        <f>IF(frame_units!E407&lt;&gt;"",frame_units!F407,NA())</f>
        <v/>
      </c>
    </row>
    <row r="411">
      <c r="U411">
        <f>IF(frame_units!E408&lt;&gt;"",frame_units!E408,NA())</f>
        <v/>
      </c>
      <c r="V411">
        <f>IF(frame_units!E408&lt;&gt;"",frame_units!F408,NA())</f>
        <v/>
      </c>
    </row>
    <row r="412">
      <c r="U412">
        <f>IF(frame_units!E409&lt;&gt;"",frame_units!E409,NA())</f>
        <v/>
      </c>
      <c r="V412">
        <f>IF(frame_units!E409&lt;&gt;"",frame_units!F409,NA())</f>
        <v/>
      </c>
    </row>
    <row r="413">
      <c r="U413">
        <f>IF(frame_units!E410&lt;&gt;"",frame_units!E410,NA())</f>
        <v/>
      </c>
      <c r="V413">
        <f>IF(frame_units!E410&lt;&gt;"",frame_units!F410,NA())</f>
        <v/>
      </c>
    </row>
    <row r="414">
      <c r="U414">
        <f>IF(frame_units!E411&lt;&gt;"",frame_units!E411,NA())</f>
        <v/>
      </c>
      <c r="V414">
        <f>IF(frame_units!E411&lt;&gt;"",frame_units!F411,NA())</f>
        <v/>
      </c>
    </row>
    <row r="415">
      <c r="U415">
        <f>IF(frame_units!E412&lt;&gt;"",frame_units!E412,NA())</f>
        <v/>
      </c>
      <c r="V415">
        <f>IF(frame_units!E412&lt;&gt;"",frame_units!F412,NA())</f>
        <v/>
      </c>
    </row>
    <row r="416">
      <c r="U416">
        <f>IF(frame_units!E413&lt;&gt;"",frame_units!E413,NA())</f>
        <v/>
      </c>
      <c r="V416">
        <f>IF(frame_units!E413&lt;&gt;"",frame_units!F413,NA())</f>
        <v/>
      </c>
    </row>
    <row r="417">
      <c r="U417">
        <f>IF(frame_units!E414&lt;&gt;"",frame_units!E414,NA())</f>
        <v/>
      </c>
      <c r="V417">
        <f>IF(frame_units!E414&lt;&gt;"",frame_units!F414,NA())</f>
        <v/>
      </c>
    </row>
    <row r="418">
      <c r="U418">
        <f>IF(frame_units!E415&lt;&gt;"",frame_units!E415,NA())</f>
        <v/>
      </c>
      <c r="V418">
        <f>IF(frame_units!E415&lt;&gt;"",frame_units!F415,NA())</f>
        <v/>
      </c>
    </row>
    <row r="419">
      <c r="U419">
        <f>IF(frame_units!E416&lt;&gt;"",frame_units!E416,NA())</f>
        <v/>
      </c>
      <c r="V419">
        <f>IF(frame_units!E416&lt;&gt;"",frame_units!F416,NA())</f>
        <v/>
      </c>
    </row>
    <row r="420">
      <c r="U420">
        <f>IF(frame_units!E417&lt;&gt;"",frame_units!E417,NA())</f>
        <v/>
      </c>
      <c r="V420">
        <f>IF(frame_units!E417&lt;&gt;"",frame_units!F417,NA())</f>
        <v/>
      </c>
    </row>
    <row r="421">
      <c r="U421">
        <f>IF(frame_units!E418&lt;&gt;"",frame_units!E418,NA())</f>
        <v/>
      </c>
      <c r="V421">
        <f>IF(frame_units!E418&lt;&gt;"",frame_units!F418,NA())</f>
        <v/>
      </c>
    </row>
    <row r="422">
      <c r="U422">
        <f>IF(frame_units!E419&lt;&gt;"",frame_units!E419,NA())</f>
        <v/>
      </c>
      <c r="V422">
        <f>IF(frame_units!E419&lt;&gt;"",frame_units!F419,NA())</f>
        <v/>
      </c>
    </row>
    <row r="423">
      <c r="U423">
        <f>IF(frame_units!E420&lt;&gt;"",frame_units!E420,NA())</f>
        <v/>
      </c>
      <c r="V423">
        <f>IF(frame_units!E420&lt;&gt;"",frame_units!F420,NA())</f>
        <v/>
      </c>
    </row>
    <row r="424">
      <c r="U424">
        <f>IF(frame_units!E421&lt;&gt;"",frame_units!E421,NA())</f>
        <v/>
      </c>
      <c r="V424">
        <f>IF(frame_units!E421&lt;&gt;"",frame_units!F421,NA())</f>
        <v/>
      </c>
    </row>
    <row r="425">
      <c r="U425">
        <f>IF(frame_units!E422&lt;&gt;"",frame_units!E422,NA())</f>
        <v/>
      </c>
      <c r="V425">
        <f>IF(frame_units!E422&lt;&gt;"",frame_units!F422,NA())</f>
        <v/>
      </c>
    </row>
    <row r="426">
      <c r="U426">
        <f>IF(frame_units!E423&lt;&gt;"",frame_units!E423,NA())</f>
        <v/>
      </c>
      <c r="V426">
        <f>IF(frame_units!E423&lt;&gt;"",frame_units!F423,NA())</f>
        <v/>
      </c>
    </row>
    <row r="427">
      <c r="U427">
        <f>IF(frame_units!E424&lt;&gt;"",frame_units!E424,NA())</f>
        <v/>
      </c>
      <c r="V427">
        <f>IF(frame_units!E424&lt;&gt;"",frame_units!F424,NA())</f>
        <v/>
      </c>
    </row>
    <row r="428">
      <c r="U428">
        <f>IF(frame_units!E425&lt;&gt;"",frame_units!E425,NA())</f>
        <v/>
      </c>
      <c r="V428">
        <f>IF(frame_units!E425&lt;&gt;"",frame_units!F425,NA())</f>
        <v/>
      </c>
    </row>
    <row r="429">
      <c r="U429">
        <f>IF(frame_units!E426&lt;&gt;"",frame_units!E426,NA())</f>
        <v/>
      </c>
      <c r="V429">
        <f>IF(frame_units!E426&lt;&gt;"",frame_units!F426,NA())</f>
        <v/>
      </c>
    </row>
    <row r="430">
      <c r="U430">
        <f>IF(frame_units!E427&lt;&gt;"",frame_units!E427,NA())</f>
        <v/>
      </c>
      <c r="V430">
        <f>IF(frame_units!E427&lt;&gt;"",frame_units!F427,NA())</f>
        <v/>
      </c>
    </row>
    <row r="431">
      <c r="U431">
        <f>IF(frame_units!E428&lt;&gt;"",frame_units!E428,NA())</f>
        <v/>
      </c>
      <c r="V431">
        <f>IF(frame_units!E428&lt;&gt;"",frame_units!F428,NA())</f>
        <v/>
      </c>
    </row>
    <row r="432">
      <c r="U432">
        <f>IF(frame_units!E429&lt;&gt;"",frame_units!E429,NA())</f>
        <v/>
      </c>
      <c r="V432">
        <f>IF(frame_units!E429&lt;&gt;"",frame_units!F429,NA())</f>
        <v/>
      </c>
    </row>
    <row r="433">
      <c r="U433">
        <f>IF(frame_units!E430&lt;&gt;"",frame_units!E430,NA())</f>
        <v/>
      </c>
      <c r="V433">
        <f>IF(frame_units!E430&lt;&gt;"",frame_units!F430,NA())</f>
        <v/>
      </c>
    </row>
    <row r="434">
      <c r="U434">
        <f>IF(frame_units!E431&lt;&gt;"",frame_units!E431,NA())</f>
        <v/>
      </c>
      <c r="V434">
        <f>IF(frame_units!E431&lt;&gt;"",frame_units!F431,NA())</f>
        <v/>
      </c>
    </row>
    <row r="435">
      <c r="U435">
        <f>IF(frame_units!E432&lt;&gt;"",frame_units!E432,NA())</f>
        <v/>
      </c>
      <c r="V435">
        <f>IF(frame_units!E432&lt;&gt;"",frame_units!F432,NA())</f>
        <v/>
      </c>
    </row>
    <row r="436">
      <c r="U436">
        <f>IF(frame_units!E433&lt;&gt;"",frame_units!E433,NA())</f>
        <v/>
      </c>
      <c r="V436">
        <f>IF(frame_units!E433&lt;&gt;"",frame_units!F433,NA())</f>
        <v/>
      </c>
    </row>
    <row r="437">
      <c r="U437">
        <f>IF(frame_units!E434&lt;&gt;"",frame_units!E434,NA())</f>
        <v/>
      </c>
      <c r="V437">
        <f>IF(frame_units!E434&lt;&gt;"",frame_units!F434,NA())</f>
        <v/>
      </c>
    </row>
    <row r="438">
      <c r="U438">
        <f>IF(frame_units!E435&lt;&gt;"",frame_units!E435,NA())</f>
        <v/>
      </c>
      <c r="V438">
        <f>IF(frame_units!E435&lt;&gt;"",frame_units!F435,NA())</f>
        <v/>
      </c>
    </row>
    <row r="439">
      <c r="U439">
        <f>IF(frame_units!E436&lt;&gt;"",frame_units!E436,NA())</f>
        <v/>
      </c>
      <c r="V439">
        <f>IF(frame_units!E436&lt;&gt;"",frame_units!F436,NA())</f>
        <v/>
      </c>
    </row>
    <row r="440">
      <c r="U440">
        <f>IF(frame_units!E437&lt;&gt;"",frame_units!E437,NA())</f>
        <v/>
      </c>
      <c r="V440">
        <f>IF(frame_units!E437&lt;&gt;"",frame_units!F437,NA())</f>
        <v/>
      </c>
    </row>
    <row r="441">
      <c r="U441">
        <f>IF(frame_units!E438&lt;&gt;"",frame_units!E438,NA())</f>
        <v/>
      </c>
      <c r="V441">
        <f>IF(frame_units!E438&lt;&gt;"",frame_units!F438,NA())</f>
        <v/>
      </c>
    </row>
    <row r="442">
      <c r="U442">
        <f>IF(frame_units!E439&lt;&gt;"",frame_units!E439,NA())</f>
        <v/>
      </c>
      <c r="V442">
        <f>IF(frame_units!E439&lt;&gt;"",frame_units!F439,NA())</f>
        <v/>
      </c>
    </row>
    <row r="443">
      <c r="U443">
        <f>IF(frame_units!E440&lt;&gt;"",frame_units!E440,NA())</f>
        <v/>
      </c>
      <c r="V443">
        <f>IF(frame_units!E440&lt;&gt;"",frame_units!F440,NA())</f>
        <v/>
      </c>
    </row>
    <row r="444">
      <c r="U444">
        <f>IF(frame_units!E441&lt;&gt;"",frame_units!E441,NA())</f>
        <v/>
      </c>
      <c r="V444">
        <f>IF(frame_units!E441&lt;&gt;"",frame_units!F441,NA())</f>
        <v/>
      </c>
    </row>
    <row r="445">
      <c r="U445">
        <f>IF(frame_units!E442&lt;&gt;"",frame_units!E442,NA())</f>
        <v/>
      </c>
      <c r="V445">
        <f>IF(frame_units!E442&lt;&gt;"",frame_units!F442,NA())</f>
        <v/>
      </c>
    </row>
    <row r="446">
      <c r="U446">
        <f>IF(frame_units!E443&lt;&gt;"",frame_units!E443,NA())</f>
        <v/>
      </c>
      <c r="V446">
        <f>IF(frame_units!E443&lt;&gt;"",frame_units!F443,NA())</f>
        <v/>
      </c>
    </row>
    <row r="447">
      <c r="U447">
        <f>IF(frame_units!E444&lt;&gt;"",frame_units!E444,NA())</f>
        <v/>
      </c>
      <c r="V447">
        <f>IF(frame_units!E444&lt;&gt;"",frame_units!F444,NA())</f>
        <v/>
      </c>
    </row>
    <row r="448">
      <c r="U448">
        <f>IF(frame_units!E445&lt;&gt;"",frame_units!E445,NA())</f>
        <v/>
      </c>
      <c r="V448">
        <f>IF(frame_units!E445&lt;&gt;"",frame_units!F445,NA())</f>
        <v/>
      </c>
    </row>
    <row r="449">
      <c r="U449">
        <f>IF(frame_units!E446&lt;&gt;"",frame_units!E446,NA())</f>
        <v/>
      </c>
      <c r="V449">
        <f>IF(frame_units!E446&lt;&gt;"",frame_units!F446,NA())</f>
        <v/>
      </c>
    </row>
    <row r="450">
      <c r="U450">
        <f>IF(frame_units!E447&lt;&gt;"",frame_units!E447,NA())</f>
        <v/>
      </c>
      <c r="V450">
        <f>IF(frame_units!E447&lt;&gt;"",frame_units!F447,NA())</f>
        <v/>
      </c>
    </row>
    <row r="451">
      <c r="U451">
        <f>IF(frame_units!E448&lt;&gt;"",frame_units!E448,NA())</f>
        <v/>
      </c>
      <c r="V451">
        <f>IF(frame_units!E448&lt;&gt;"",frame_units!F448,NA())</f>
        <v/>
      </c>
    </row>
    <row r="452">
      <c r="U452">
        <f>IF(frame_units!E449&lt;&gt;"",frame_units!E449,NA())</f>
        <v/>
      </c>
      <c r="V452">
        <f>IF(frame_units!E449&lt;&gt;"",frame_units!F449,NA())</f>
        <v/>
      </c>
    </row>
    <row r="453">
      <c r="U453">
        <f>IF(frame_units!E450&lt;&gt;"",frame_units!E450,NA())</f>
        <v/>
      </c>
      <c r="V453">
        <f>IF(frame_units!E450&lt;&gt;"",frame_units!F450,NA())</f>
        <v/>
      </c>
    </row>
    <row r="454">
      <c r="U454">
        <f>IF(frame_units!E451&lt;&gt;"",frame_units!E451,NA())</f>
        <v/>
      </c>
      <c r="V454">
        <f>IF(frame_units!E451&lt;&gt;"",frame_units!F451,NA())</f>
        <v/>
      </c>
    </row>
    <row r="455">
      <c r="U455">
        <f>IF(frame_units!E452&lt;&gt;"",frame_units!E452,NA())</f>
        <v/>
      </c>
      <c r="V455">
        <f>IF(frame_units!E452&lt;&gt;"",frame_units!F452,NA())</f>
        <v/>
      </c>
    </row>
    <row r="456">
      <c r="U456">
        <f>IF(frame_units!E453&lt;&gt;"",frame_units!E453,NA())</f>
        <v/>
      </c>
      <c r="V456">
        <f>IF(frame_units!E453&lt;&gt;"",frame_units!F453,NA())</f>
        <v/>
      </c>
    </row>
    <row r="457">
      <c r="U457">
        <f>IF(frame_units!E454&lt;&gt;"",frame_units!E454,NA())</f>
        <v/>
      </c>
      <c r="V457">
        <f>IF(frame_units!E454&lt;&gt;"",frame_units!F454,NA())</f>
        <v/>
      </c>
    </row>
    <row r="458">
      <c r="U458">
        <f>IF(frame_units!E455&lt;&gt;"",frame_units!E455,NA())</f>
        <v/>
      </c>
      <c r="V458">
        <f>IF(frame_units!E455&lt;&gt;"",frame_units!F455,NA())</f>
        <v/>
      </c>
    </row>
    <row r="459">
      <c r="U459">
        <f>IF(frame_units!E456&lt;&gt;"",frame_units!E456,NA())</f>
        <v/>
      </c>
      <c r="V459">
        <f>IF(frame_units!E456&lt;&gt;"",frame_units!F456,NA())</f>
        <v/>
      </c>
    </row>
    <row r="460">
      <c r="U460">
        <f>IF(frame_units!E457&lt;&gt;"",frame_units!E457,NA())</f>
        <v/>
      </c>
      <c r="V460">
        <f>IF(frame_units!E457&lt;&gt;"",frame_units!F457,NA())</f>
        <v/>
      </c>
    </row>
    <row r="461">
      <c r="U461">
        <f>IF(frame_units!E458&lt;&gt;"",frame_units!E458,NA())</f>
        <v/>
      </c>
      <c r="V461">
        <f>IF(frame_units!E458&lt;&gt;"",frame_units!F458,NA())</f>
        <v/>
      </c>
    </row>
    <row r="462">
      <c r="U462">
        <f>IF(frame_units!E459&lt;&gt;"",frame_units!E459,NA())</f>
        <v/>
      </c>
      <c r="V462">
        <f>IF(frame_units!E459&lt;&gt;"",frame_units!F459,NA())</f>
        <v/>
      </c>
    </row>
    <row r="463">
      <c r="U463">
        <f>IF(frame_units!E460&lt;&gt;"",frame_units!E460,NA())</f>
        <v/>
      </c>
      <c r="V463">
        <f>IF(frame_units!E460&lt;&gt;"",frame_units!F460,NA())</f>
        <v/>
      </c>
    </row>
    <row r="464">
      <c r="U464">
        <f>IF(frame_units!E461&lt;&gt;"",frame_units!E461,NA())</f>
        <v/>
      </c>
      <c r="V464">
        <f>IF(frame_units!E461&lt;&gt;"",frame_units!F461,NA())</f>
        <v/>
      </c>
    </row>
    <row r="465">
      <c r="U465">
        <f>IF(frame_units!E462&lt;&gt;"",frame_units!E462,NA())</f>
        <v/>
      </c>
      <c r="V465">
        <f>IF(frame_units!E462&lt;&gt;"",frame_units!F462,NA())</f>
        <v/>
      </c>
    </row>
    <row r="466">
      <c r="U466">
        <f>IF(frame_units!E463&lt;&gt;"",frame_units!E463,NA())</f>
        <v/>
      </c>
      <c r="V466">
        <f>IF(frame_units!E463&lt;&gt;"",frame_units!F463,NA())</f>
        <v/>
      </c>
    </row>
    <row r="467">
      <c r="U467">
        <f>IF(frame_units!E464&lt;&gt;"",frame_units!E464,NA())</f>
        <v/>
      </c>
      <c r="V467">
        <f>IF(frame_units!E464&lt;&gt;"",frame_units!F464,NA())</f>
        <v/>
      </c>
    </row>
    <row r="468">
      <c r="U468">
        <f>IF(frame_units!E465&lt;&gt;"",frame_units!E465,NA())</f>
        <v/>
      </c>
      <c r="V468">
        <f>IF(frame_units!E465&lt;&gt;"",frame_units!F465,NA())</f>
        <v/>
      </c>
    </row>
    <row r="469">
      <c r="U469">
        <f>IF(frame_units!E466&lt;&gt;"",frame_units!E466,NA())</f>
        <v/>
      </c>
      <c r="V469">
        <f>IF(frame_units!E466&lt;&gt;"",frame_units!F466,NA())</f>
        <v/>
      </c>
    </row>
    <row r="470">
      <c r="U470">
        <f>IF(frame_units!E467&lt;&gt;"",frame_units!E467,NA())</f>
        <v/>
      </c>
      <c r="V470">
        <f>IF(frame_units!E467&lt;&gt;"",frame_units!F467,NA())</f>
        <v/>
      </c>
    </row>
    <row r="471">
      <c r="U471">
        <f>IF(frame_units!E468&lt;&gt;"",frame_units!E468,NA())</f>
        <v/>
      </c>
      <c r="V471">
        <f>IF(frame_units!E468&lt;&gt;"",frame_units!F468,NA())</f>
        <v/>
      </c>
    </row>
    <row r="472">
      <c r="U472">
        <f>IF(frame_units!E469&lt;&gt;"",frame_units!E469,NA())</f>
        <v/>
      </c>
      <c r="V472">
        <f>IF(frame_units!E469&lt;&gt;"",frame_units!F469,NA())</f>
        <v/>
      </c>
    </row>
    <row r="473">
      <c r="U473">
        <f>IF(frame_units!E470&lt;&gt;"",frame_units!E470,NA())</f>
        <v/>
      </c>
      <c r="V473">
        <f>IF(frame_units!E470&lt;&gt;"",frame_units!F470,NA())</f>
        <v/>
      </c>
    </row>
    <row r="474">
      <c r="U474">
        <f>IF(frame_units!E471&lt;&gt;"",frame_units!E471,NA())</f>
        <v/>
      </c>
      <c r="V474">
        <f>IF(frame_units!E471&lt;&gt;"",frame_units!F471,NA())</f>
        <v/>
      </c>
    </row>
    <row r="475">
      <c r="U475">
        <f>IF(frame_units!E472&lt;&gt;"",frame_units!E472,NA())</f>
        <v/>
      </c>
      <c r="V475">
        <f>IF(frame_units!E472&lt;&gt;"",frame_units!F472,NA())</f>
        <v/>
      </c>
    </row>
    <row r="476">
      <c r="U476">
        <f>IF(frame_units!E473&lt;&gt;"",frame_units!E473,NA())</f>
        <v/>
      </c>
      <c r="V476">
        <f>IF(frame_units!E473&lt;&gt;"",frame_units!F473,NA())</f>
        <v/>
      </c>
    </row>
    <row r="477">
      <c r="U477">
        <f>IF(frame_units!E474&lt;&gt;"",frame_units!E474,NA())</f>
        <v/>
      </c>
      <c r="V477">
        <f>IF(frame_units!E474&lt;&gt;"",frame_units!F474,NA())</f>
        <v/>
      </c>
    </row>
    <row r="478">
      <c r="U478">
        <f>IF(frame_units!E475&lt;&gt;"",frame_units!E475,NA())</f>
        <v/>
      </c>
      <c r="V478">
        <f>IF(frame_units!E475&lt;&gt;"",frame_units!F475,NA())</f>
        <v/>
      </c>
    </row>
    <row r="479">
      <c r="U479">
        <f>IF(frame_units!E476&lt;&gt;"",frame_units!E476,NA())</f>
        <v/>
      </c>
      <c r="V479">
        <f>IF(frame_units!E476&lt;&gt;"",frame_units!F476,NA())</f>
        <v/>
      </c>
    </row>
    <row r="480">
      <c r="U480">
        <f>IF(frame_units!E477&lt;&gt;"",frame_units!E477,NA())</f>
        <v/>
      </c>
      <c r="V480">
        <f>IF(frame_units!E477&lt;&gt;"",frame_units!F477,NA())</f>
        <v/>
      </c>
    </row>
    <row r="481">
      <c r="U481">
        <f>IF(frame_units!E478&lt;&gt;"",frame_units!E478,NA())</f>
        <v/>
      </c>
      <c r="V481">
        <f>IF(frame_units!E478&lt;&gt;"",frame_units!F478,NA())</f>
        <v/>
      </c>
    </row>
    <row r="482">
      <c r="U482">
        <f>IF(frame_units!E479&lt;&gt;"",frame_units!E479,NA())</f>
        <v/>
      </c>
      <c r="V482">
        <f>IF(frame_units!E479&lt;&gt;"",frame_units!F479,NA())</f>
        <v/>
      </c>
    </row>
    <row r="483">
      <c r="U483">
        <f>IF(frame_units!E480&lt;&gt;"",frame_units!E480,NA())</f>
        <v/>
      </c>
      <c r="V483">
        <f>IF(frame_units!E480&lt;&gt;"",frame_units!F480,NA())</f>
        <v/>
      </c>
    </row>
    <row r="484">
      <c r="U484">
        <f>IF(frame_units!E481&lt;&gt;"",frame_units!E481,NA())</f>
        <v/>
      </c>
      <c r="V484">
        <f>IF(frame_units!E481&lt;&gt;"",frame_units!F481,NA())</f>
        <v/>
      </c>
    </row>
    <row r="485">
      <c r="U485">
        <f>IF(frame_units!E482&lt;&gt;"",frame_units!E482,NA())</f>
        <v/>
      </c>
      <c r="V485">
        <f>IF(frame_units!E482&lt;&gt;"",frame_units!F482,NA())</f>
        <v/>
      </c>
    </row>
    <row r="486">
      <c r="U486">
        <f>IF(frame_units!E483&lt;&gt;"",frame_units!E483,NA())</f>
        <v/>
      </c>
      <c r="V486">
        <f>IF(frame_units!E483&lt;&gt;"",frame_units!F483,NA())</f>
        <v/>
      </c>
    </row>
    <row r="487">
      <c r="U487">
        <f>IF(frame_units!E484&lt;&gt;"",frame_units!E484,NA())</f>
        <v/>
      </c>
      <c r="V487">
        <f>IF(frame_units!E484&lt;&gt;"",frame_units!F484,NA())</f>
        <v/>
      </c>
    </row>
    <row r="488">
      <c r="U488">
        <f>IF(frame_units!E485&lt;&gt;"",frame_units!E485,NA())</f>
        <v/>
      </c>
      <c r="V488">
        <f>IF(frame_units!E485&lt;&gt;"",frame_units!F485,NA())</f>
        <v/>
      </c>
    </row>
    <row r="489">
      <c r="U489">
        <f>IF(frame_units!E486&lt;&gt;"",frame_units!E486,NA())</f>
        <v/>
      </c>
      <c r="V489">
        <f>IF(frame_units!E486&lt;&gt;"",frame_units!F486,NA())</f>
        <v/>
      </c>
    </row>
    <row r="490">
      <c r="U490">
        <f>IF(frame_units!E487&lt;&gt;"",frame_units!E487,NA())</f>
        <v/>
      </c>
      <c r="V490">
        <f>IF(frame_units!E487&lt;&gt;"",frame_units!F487,NA())</f>
        <v/>
      </c>
    </row>
    <row r="491">
      <c r="U491">
        <f>IF(frame_units!E488&lt;&gt;"",frame_units!E488,NA())</f>
        <v/>
      </c>
      <c r="V491">
        <f>IF(frame_units!E488&lt;&gt;"",frame_units!F488,NA())</f>
        <v/>
      </c>
    </row>
    <row r="492">
      <c r="U492">
        <f>IF(frame_units!E489&lt;&gt;"",frame_units!E489,NA())</f>
        <v/>
      </c>
      <c r="V492">
        <f>IF(frame_units!E489&lt;&gt;"",frame_units!F489,NA())</f>
        <v/>
      </c>
    </row>
    <row r="493">
      <c r="U493">
        <f>IF(frame_units!E490&lt;&gt;"",frame_units!E490,NA())</f>
        <v/>
      </c>
      <c r="V493">
        <f>IF(frame_units!E490&lt;&gt;"",frame_units!F490,NA())</f>
        <v/>
      </c>
    </row>
    <row r="494">
      <c r="U494">
        <f>IF(frame_units!E491&lt;&gt;"",frame_units!E491,NA())</f>
        <v/>
      </c>
      <c r="V494">
        <f>IF(frame_units!E491&lt;&gt;"",frame_units!F491,NA())</f>
        <v/>
      </c>
    </row>
    <row r="495">
      <c r="U495">
        <f>IF(frame_units!E492&lt;&gt;"",frame_units!E492,NA())</f>
        <v/>
      </c>
      <c r="V495">
        <f>IF(frame_units!E492&lt;&gt;"",frame_units!F492,NA())</f>
        <v/>
      </c>
    </row>
    <row r="496">
      <c r="U496">
        <f>IF(frame_units!E493&lt;&gt;"",frame_units!E493,NA())</f>
        <v/>
      </c>
      <c r="V496">
        <f>IF(frame_units!E493&lt;&gt;"",frame_units!F493,NA())</f>
        <v/>
      </c>
    </row>
    <row r="497">
      <c r="U497">
        <f>IF(frame_units!E494&lt;&gt;"",frame_units!E494,NA())</f>
        <v/>
      </c>
      <c r="V497">
        <f>IF(frame_units!E494&lt;&gt;"",frame_units!F494,NA())</f>
        <v/>
      </c>
    </row>
    <row r="498">
      <c r="U498">
        <f>IF(frame_units!E495&lt;&gt;"",frame_units!E495,NA())</f>
        <v/>
      </c>
      <c r="V498">
        <f>IF(frame_units!E495&lt;&gt;"",frame_units!F495,NA())</f>
        <v/>
      </c>
    </row>
    <row r="499">
      <c r="U499">
        <f>IF(frame_units!E496&lt;&gt;"",frame_units!E496,NA())</f>
        <v/>
      </c>
      <c r="V499">
        <f>IF(frame_units!E496&lt;&gt;"",frame_units!F496,NA())</f>
        <v/>
      </c>
    </row>
    <row r="500">
      <c r="U500">
        <f>IF(frame_units!E497&lt;&gt;"",frame_units!E497,NA())</f>
        <v/>
      </c>
      <c r="V500">
        <f>IF(frame_units!E497&lt;&gt;"",frame_units!F497,NA())</f>
        <v/>
      </c>
    </row>
    <row r="501">
      <c r="U501">
        <f>IF(frame_units!E498&lt;&gt;"",frame_units!E498,NA())</f>
        <v/>
      </c>
      <c r="V501">
        <f>IF(frame_units!E498&lt;&gt;"",frame_units!F498,NA())</f>
        <v/>
      </c>
    </row>
    <row r="502">
      <c r="U502">
        <f>IF(frame_units!E499&lt;&gt;"",frame_units!E499,NA())</f>
        <v/>
      </c>
      <c r="V502">
        <f>IF(frame_units!E499&lt;&gt;"",frame_units!F499,NA())</f>
        <v/>
      </c>
    </row>
    <row r="503">
      <c r="U503">
        <f>IF(frame_units!E500&lt;&gt;"",frame_units!E500,NA())</f>
        <v/>
      </c>
      <c r="V503">
        <f>IF(frame_units!E500&lt;&gt;"",frame_units!F500,NA())</f>
        <v/>
      </c>
    </row>
    <row r="504">
      <c r="U504">
        <f>IF(frame_units!E501&lt;&gt;"",frame_units!E501,NA())</f>
        <v/>
      </c>
      <c r="V504">
        <f>IF(frame_units!E501&lt;&gt;"",frame_units!F501,NA())</f>
        <v/>
      </c>
    </row>
    <row r="505">
      <c r="U505">
        <f>IF(frame_units!E502&lt;&gt;"",frame_units!E502,NA())</f>
        <v/>
      </c>
      <c r="V505">
        <f>IF(frame_units!E502&lt;&gt;"",frame_units!F502,NA())</f>
        <v/>
      </c>
    </row>
    <row r="506">
      <c r="U506">
        <f>IF(frame_units!E503&lt;&gt;"",frame_units!E503,NA())</f>
        <v/>
      </c>
      <c r="V506">
        <f>IF(frame_units!E503&lt;&gt;"",frame_units!F503,NA())</f>
        <v/>
      </c>
    </row>
    <row r="507">
      <c r="U507">
        <f>IF(frame_units!E504&lt;&gt;"",frame_units!E504,NA())</f>
        <v/>
      </c>
      <c r="V507">
        <f>IF(frame_units!E504&lt;&gt;"",frame_units!F504,NA())</f>
        <v/>
      </c>
    </row>
    <row r="508">
      <c r="U508">
        <f>IF(frame_units!E505&lt;&gt;"",frame_units!E505,NA())</f>
        <v/>
      </c>
      <c r="V508">
        <f>IF(frame_units!E505&lt;&gt;"",frame_units!F505,NA())</f>
        <v/>
      </c>
    </row>
    <row r="509">
      <c r="U509">
        <f>IF(frame_units!E506&lt;&gt;"",frame_units!E506,NA())</f>
        <v/>
      </c>
      <c r="V509">
        <f>IF(frame_units!E506&lt;&gt;"",frame_units!F506,NA())</f>
        <v/>
      </c>
    </row>
    <row r="510">
      <c r="U510">
        <f>IF(frame_units!E507&lt;&gt;"",frame_units!E507,NA())</f>
        <v/>
      </c>
      <c r="V510">
        <f>IF(frame_units!E507&lt;&gt;"",frame_units!F507,NA())</f>
        <v/>
      </c>
    </row>
    <row r="511">
      <c r="U511">
        <f>IF(frame_units!E508&lt;&gt;"",frame_units!E508,NA())</f>
        <v/>
      </c>
      <c r="V511">
        <f>IF(frame_units!E508&lt;&gt;"",frame_units!F508,NA())</f>
        <v/>
      </c>
    </row>
    <row r="512">
      <c r="U512">
        <f>IF(frame_units!E509&lt;&gt;"",frame_units!E509,NA())</f>
        <v/>
      </c>
      <c r="V512">
        <f>IF(frame_units!E509&lt;&gt;"",frame_units!F509,NA())</f>
        <v/>
      </c>
    </row>
    <row r="513">
      <c r="U513">
        <f>IF(frame_units!E510&lt;&gt;"",frame_units!E510,NA())</f>
        <v/>
      </c>
      <c r="V513">
        <f>IF(frame_units!E510&lt;&gt;"",frame_units!F510,NA())</f>
        <v/>
      </c>
    </row>
    <row r="514">
      <c r="U514">
        <f>IF(frame_units!E511&lt;&gt;"",frame_units!E511,NA())</f>
        <v/>
      </c>
      <c r="V514">
        <f>IF(frame_units!E511&lt;&gt;"",frame_units!F511,NA())</f>
        <v/>
      </c>
    </row>
    <row r="515">
      <c r="U515">
        <f>IF(frame_units!E512&lt;&gt;"",frame_units!E512,NA())</f>
        <v/>
      </c>
      <c r="V515">
        <f>IF(frame_units!E512&lt;&gt;"",frame_units!F512,NA())</f>
        <v/>
      </c>
    </row>
    <row r="516">
      <c r="U516">
        <f>IF(frame_units!E513&lt;&gt;"",frame_units!E513,NA())</f>
        <v/>
      </c>
      <c r="V516">
        <f>IF(frame_units!E513&lt;&gt;"",frame_units!F513,NA())</f>
        <v/>
      </c>
    </row>
    <row r="517">
      <c r="U517">
        <f>IF(frame_units!E514&lt;&gt;"",frame_units!E514,NA())</f>
        <v/>
      </c>
      <c r="V517">
        <f>IF(frame_units!E514&lt;&gt;"",frame_units!F514,NA())</f>
        <v/>
      </c>
    </row>
    <row r="518">
      <c r="U518">
        <f>IF(frame_units!E515&lt;&gt;"",frame_units!E515,NA())</f>
        <v/>
      </c>
      <c r="V518">
        <f>IF(frame_units!E515&lt;&gt;"",frame_units!F515,NA())</f>
        <v/>
      </c>
    </row>
    <row r="519">
      <c r="U519">
        <f>IF(frame_units!E516&lt;&gt;"",frame_units!E516,NA())</f>
        <v/>
      </c>
      <c r="V519">
        <f>IF(frame_units!E516&lt;&gt;"",frame_units!F516,NA())</f>
        <v/>
      </c>
    </row>
    <row r="520">
      <c r="U520">
        <f>IF(frame_units!E517&lt;&gt;"",frame_units!E517,NA())</f>
        <v/>
      </c>
      <c r="V520">
        <f>IF(frame_units!E517&lt;&gt;"",frame_units!F517,NA())</f>
        <v/>
      </c>
    </row>
    <row r="521">
      <c r="U521">
        <f>IF(frame_units!E518&lt;&gt;"",frame_units!E518,NA())</f>
        <v/>
      </c>
      <c r="V521">
        <f>IF(frame_units!E518&lt;&gt;"",frame_units!F518,NA())</f>
        <v/>
      </c>
    </row>
    <row r="522">
      <c r="U522">
        <f>IF(frame_units!E519&lt;&gt;"",frame_units!E519,NA())</f>
        <v/>
      </c>
      <c r="V522">
        <f>IF(frame_units!E519&lt;&gt;"",frame_units!F519,NA())</f>
        <v/>
      </c>
    </row>
    <row r="523">
      <c r="U523">
        <f>IF(frame_units!E520&lt;&gt;"",frame_units!E520,NA())</f>
        <v/>
      </c>
      <c r="V523">
        <f>IF(frame_units!E520&lt;&gt;"",frame_units!F520,NA())</f>
        <v/>
      </c>
    </row>
    <row r="524">
      <c r="U524">
        <f>IF(frame_units!E521&lt;&gt;"",frame_units!E521,NA())</f>
        <v/>
      </c>
      <c r="V524">
        <f>IF(frame_units!E521&lt;&gt;"",frame_units!F521,NA())</f>
        <v/>
      </c>
    </row>
    <row r="525">
      <c r="U525">
        <f>IF(frame_units!E522&lt;&gt;"",frame_units!E522,NA())</f>
        <v/>
      </c>
      <c r="V525">
        <f>IF(frame_units!E522&lt;&gt;"",frame_units!F522,NA())</f>
        <v/>
      </c>
    </row>
    <row r="526">
      <c r="U526">
        <f>IF(frame_units!E523&lt;&gt;"",frame_units!E523,NA())</f>
        <v/>
      </c>
      <c r="V526">
        <f>IF(frame_units!E523&lt;&gt;"",frame_units!F523,NA())</f>
        <v/>
      </c>
    </row>
    <row r="527">
      <c r="U527">
        <f>IF(frame_units!E524&lt;&gt;"",frame_units!E524,NA())</f>
        <v/>
      </c>
      <c r="V527">
        <f>IF(frame_units!E524&lt;&gt;"",frame_units!F524,NA())</f>
        <v/>
      </c>
    </row>
    <row r="528">
      <c r="U528">
        <f>IF(frame_units!E525&lt;&gt;"",frame_units!E525,NA())</f>
        <v/>
      </c>
      <c r="V528">
        <f>IF(frame_units!E525&lt;&gt;"",frame_units!F525,NA())</f>
        <v/>
      </c>
    </row>
    <row r="529">
      <c r="U529">
        <f>IF(frame_units!E526&lt;&gt;"",frame_units!E526,NA())</f>
        <v/>
      </c>
      <c r="V529">
        <f>IF(frame_units!E526&lt;&gt;"",frame_units!F526,NA())</f>
        <v/>
      </c>
    </row>
    <row r="530">
      <c r="U530">
        <f>IF(frame_units!E527&lt;&gt;"",frame_units!E527,NA())</f>
        <v/>
      </c>
      <c r="V530">
        <f>IF(frame_units!E527&lt;&gt;"",frame_units!F527,NA())</f>
        <v/>
      </c>
    </row>
    <row r="531">
      <c r="U531">
        <f>IF(frame_units!E528&lt;&gt;"",frame_units!E528,NA())</f>
        <v/>
      </c>
      <c r="V531">
        <f>IF(frame_units!E528&lt;&gt;"",frame_units!F528,NA())</f>
        <v/>
      </c>
    </row>
    <row r="532">
      <c r="U532">
        <f>IF(frame_units!E529&lt;&gt;"",frame_units!E529,NA())</f>
        <v/>
      </c>
      <c r="V532">
        <f>IF(frame_units!E529&lt;&gt;"",frame_units!F529,NA())</f>
        <v/>
      </c>
    </row>
    <row r="533">
      <c r="U533">
        <f>IF(frame_units!E530&lt;&gt;"",frame_units!E530,NA())</f>
        <v/>
      </c>
      <c r="V533">
        <f>IF(frame_units!E530&lt;&gt;"",frame_units!F530,NA())</f>
        <v/>
      </c>
    </row>
    <row r="534">
      <c r="U534">
        <f>IF(frame_units!E531&lt;&gt;"",frame_units!E531,NA())</f>
        <v/>
      </c>
      <c r="V534">
        <f>IF(frame_units!E531&lt;&gt;"",frame_units!F531,NA())</f>
        <v/>
      </c>
    </row>
    <row r="535">
      <c r="U535">
        <f>IF(frame_units!E532&lt;&gt;"",frame_units!E532,NA())</f>
        <v/>
      </c>
      <c r="V535">
        <f>IF(frame_units!E532&lt;&gt;"",frame_units!F532,NA())</f>
        <v/>
      </c>
    </row>
    <row r="536">
      <c r="U536">
        <f>IF(frame_units!E533&lt;&gt;"",frame_units!E533,NA())</f>
        <v/>
      </c>
      <c r="V536">
        <f>IF(frame_units!E533&lt;&gt;"",frame_units!F533,NA())</f>
        <v/>
      </c>
    </row>
    <row r="537">
      <c r="U537">
        <f>IF(frame_units!E534&lt;&gt;"",frame_units!E534,NA())</f>
        <v/>
      </c>
      <c r="V537">
        <f>IF(frame_units!E534&lt;&gt;"",frame_units!F534,NA())</f>
        <v/>
      </c>
    </row>
    <row r="538">
      <c r="U538">
        <f>IF(frame_units!E535&lt;&gt;"",frame_units!E535,NA())</f>
        <v/>
      </c>
      <c r="V538">
        <f>IF(frame_units!E535&lt;&gt;"",frame_units!F535,NA())</f>
        <v/>
      </c>
    </row>
    <row r="539">
      <c r="U539">
        <f>IF(frame_units!E536&lt;&gt;"",frame_units!E536,NA())</f>
        <v/>
      </c>
      <c r="V539">
        <f>IF(frame_units!E536&lt;&gt;"",frame_units!F536,NA())</f>
        <v/>
      </c>
    </row>
    <row r="540">
      <c r="U540">
        <f>IF(frame_units!E537&lt;&gt;"",frame_units!E537,NA())</f>
        <v/>
      </c>
      <c r="V540">
        <f>IF(frame_units!E537&lt;&gt;"",frame_units!F537,NA())</f>
        <v/>
      </c>
    </row>
    <row r="541">
      <c r="U541">
        <f>IF(frame_units!E538&lt;&gt;"",frame_units!E538,NA())</f>
        <v/>
      </c>
      <c r="V541">
        <f>IF(frame_units!E538&lt;&gt;"",frame_units!F538,NA())</f>
        <v/>
      </c>
    </row>
    <row r="542">
      <c r="U542">
        <f>IF(frame_units!E539&lt;&gt;"",frame_units!E539,NA())</f>
        <v/>
      </c>
      <c r="V542">
        <f>IF(frame_units!E539&lt;&gt;"",frame_units!F539,NA())</f>
        <v/>
      </c>
    </row>
    <row r="543">
      <c r="U543">
        <f>IF(frame_units!E540&lt;&gt;"",frame_units!E540,NA())</f>
        <v/>
      </c>
      <c r="V543">
        <f>IF(frame_units!E540&lt;&gt;"",frame_units!F540,NA())</f>
        <v/>
      </c>
    </row>
    <row r="544">
      <c r="U544">
        <f>IF(frame_units!E541&lt;&gt;"",frame_units!E541,NA())</f>
        <v/>
      </c>
      <c r="V544">
        <f>IF(frame_units!E541&lt;&gt;"",frame_units!F541,NA())</f>
        <v/>
      </c>
    </row>
    <row r="545">
      <c r="U545">
        <f>IF(frame_units!E542&lt;&gt;"",frame_units!E542,NA())</f>
        <v/>
      </c>
      <c r="V545">
        <f>IF(frame_units!E542&lt;&gt;"",frame_units!F542,NA())</f>
        <v/>
      </c>
    </row>
    <row r="546">
      <c r="U546">
        <f>IF(frame_units!E543&lt;&gt;"",frame_units!E543,NA())</f>
        <v/>
      </c>
      <c r="V546">
        <f>IF(frame_units!E543&lt;&gt;"",frame_units!F543,NA())</f>
        <v/>
      </c>
    </row>
    <row r="547">
      <c r="U547">
        <f>IF(frame_units!E544&lt;&gt;"",frame_units!E544,NA())</f>
        <v/>
      </c>
      <c r="V547">
        <f>IF(frame_units!E544&lt;&gt;"",frame_units!F544,NA())</f>
        <v/>
      </c>
    </row>
    <row r="548">
      <c r="U548">
        <f>IF(frame_units!E545&lt;&gt;"",frame_units!E545,NA())</f>
        <v/>
      </c>
      <c r="V548">
        <f>IF(frame_units!E545&lt;&gt;"",frame_units!F545,NA())</f>
        <v/>
      </c>
    </row>
    <row r="549">
      <c r="U549">
        <f>IF(frame_units!E546&lt;&gt;"",frame_units!E546,NA())</f>
        <v/>
      </c>
      <c r="V549">
        <f>IF(frame_units!E546&lt;&gt;"",frame_units!F546,NA())</f>
        <v/>
      </c>
    </row>
    <row r="550">
      <c r="U550">
        <f>IF(frame_units!E547&lt;&gt;"",frame_units!E547,NA())</f>
        <v/>
      </c>
      <c r="V550">
        <f>IF(frame_units!E547&lt;&gt;"",frame_units!F547,NA())</f>
        <v/>
      </c>
    </row>
    <row r="551">
      <c r="U551">
        <f>IF(frame_units!E548&lt;&gt;"",frame_units!E548,NA())</f>
        <v/>
      </c>
      <c r="V551">
        <f>IF(frame_units!E548&lt;&gt;"",frame_units!F548,NA())</f>
        <v/>
      </c>
    </row>
    <row r="552">
      <c r="U552">
        <f>IF(frame_units!E549&lt;&gt;"",frame_units!E549,NA())</f>
        <v/>
      </c>
      <c r="V552">
        <f>IF(frame_units!E549&lt;&gt;"",frame_units!F549,NA())</f>
        <v/>
      </c>
    </row>
    <row r="553">
      <c r="U553">
        <f>IF(frame_units!E550&lt;&gt;"",frame_units!E550,NA())</f>
        <v/>
      </c>
      <c r="V553">
        <f>IF(frame_units!E550&lt;&gt;"",frame_units!F550,NA())</f>
        <v/>
      </c>
    </row>
    <row r="554">
      <c r="U554">
        <f>IF(frame_units!E551&lt;&gt;"",frame_units!E551,NA())</f>
        <v/>
      </c>
      <c r="V554">
        <f>IF(frame_units!E551&lt;&gt;"",frame_units!F551,NA())</f>
        <v/>
      </c>
    </row>
    <row r="555">
      <c r="U555">
        <f>IF(frame_units!E552&lt;&gt;"",frame_units!E552,NA())</f>
        <v/>
      </c>
      <c r="V555">
        <f>IF(frame_units!E552&lt;&gt;"",frame_units!F552,NA())</f>
        <v/>
      </c>
    </row>
    <row r="556">
      <c r="U556">
        <f>IF(frame_units!E553&lt;&gt;"",frame_units!E553,NA())</f>
        <v/>
      </c>
      <c r="V556">
        <f>IF(frame_units!E553&lt;&gt;"",frame_units!F553,NA())</f>
        <v/>
      </c>
    </row>
    <row r="557">
      <c r="U557">
        <f>IF(frame_units!E554&lt;&gt;"",frame_units!E554,NA())</f>
        <v/>
      </c>
      <c r="V557">
        <f>IF(frame_units!E554&lt;&gt;"",frame_units!F554,NA())</f>
        <v/>
      </c>
    </row>
    <row r="558">
      <c r="U558">
        <f>IF(frame_units!E555&lt;&gt;"",frame_units!E555,NA())</f>
        <v/>
      </c>
      <c r="V558">
        <f>IF(frame_units!E555&lt;&gt;"",frame_units!F555,NA())</f>
        <v/>
      </c>
    </row>
    <row r="559">
      <c r="U559">
        <f>IF(frame_units!E556&lt;&gt;"",frame_units!E556,NA())</f>
        <v/>
      </c>
      <c r="V559">
        <f>IF(frame_units!E556&lt;&gt;"",frame_units!F556,NA())</f>
        <v/>
      </c>
    </row>
    <row r="560">
      <c r="U560">
        <f>IF(frame_units!E557&lt;&gt;"",frame_units!E557,NA())</f>
        <v/>
      </c>
      <c r="V560">
        <f>IF(frame_units!E557&lt;&gt;"",frame_units!F557,NA())</f>
        <v/>
      </c>
    </row>
    <row r="561">
      <c r="U561">
        <f>IF(frame_units!E558&lt;&gt;"",frame_units!E558,NA())</f>
        <v/>
      </c>
      <c r="V561">
        <f>IF(frame_units!E558&lt;&gt;"",frame_units!F558,NA())</f>
        <v/>
      </c>
    </row>
    <row r="562">
      <c r="U562">
        <f>IF(frame_units!E559&lt;&gt;"",frame_units!E559,NA())</f>
        <v/>
      </c>
      <c r="V562">
        <f>IF(frame_units!E559&lt;&gt;"",frame_units!F559,NA())</f>
        <v/>
      </c>
    </row>
    <row r="563">
      <c r="U563">
        <f>IF(frame_units!E560&lt;&gt;"",frame_units!E560,NA())</f>
        <v/>
      </c>
      <c r="V563">
        <f>IF(frame_units!E560&lt;&gt;"",frame_units!F560,NA())</f>
        <v/>
      </c>
    </row>
    <row r="564">
      <c r="U564">
        <f>IF(frame_units!E561&lt;&gt;"",frame_units!E561,NA())</f>
        <v/>
      </c>
      <c r="V564">
        <f>IF(frame_units!E561&lt;&gt;"",frame_units!F561,NA())</f>
        <v/>
      </c>
    </row>
    <row r="565">
      <c r="U565">
        <f>IF(frame_units!E562&lt;&gt;"",frame_units!E562,NA())</f>
        <v/>
      </c>
      <c r="V565">
        <f>IF(frame_units!E562&lt;&gt;"",frame_units!F562,NA())</f>
        <v/>
      </c>
    </row>
    <row r="566">
      <c r="U566">
        <f>IF(frame_units!E563&lt;&gt;"",frame_units!E563,NA())</f>
        <v/>
      </c>
      <c r="V566">
        <f>IF(frame_units!E563&lt;&gt;"",frame_units!F563,NA())</f>
        <v/>
      </c>
    </row>
    <row r="567">
      <c r="U567">
        <f>IF(frame_units!E564&lt;&gt;"",frame_units!E564,NA())</f>
        <v/>
      </c>
      <c r="V567">
        <f>IF(frame_units!E564&lt;&gt;"",frame_units!F564,NA())</f>
        <v/>
      </c>
    </row>
    <row r="568">
      <c r="U568">
        <f>IF(frame_units!E565&lt;&gt;"",frame_units!E565,NA())</f>
        <v/>
      </c>
      <c r="V568">
        <f>IF(frame_units!E565&lt;&gt;"",frame_units!F565,NA())</f>
        <v/>
      </c>
    </row>
    <row r="569">
      <c r="U569">
        <f>IF(frame_units!E566&lt;&gt;"",frame_units!E566,NA())</f>
        <v/>
      </c>
      <c r="V569">
        <f>IF(frame_units!E566&lt;&gt;"",frame_units!F566,NA())</f>
        <v/>
      </c>
    </row>
    <row r="570">
      <c r="U570">
        <f>IF(frame_units!E567&lt;&gt;"",frame_units!E567,NA())</f>
        <v/>
      </c>
      <c r="V570">
        <f>IF(frame_units!E567&lt;&gt;"",frame_units!F567,NA())</f>
        <v/>
      </c>
    </row>
    <row r="571">
      <c r="U571">
        <f>IF(frame_units!E568&lt;&gt;"",frame_units!E568,NA())</f>
        <v/>
      </c>
      <c r="V571">
        <f>IF(frame_units!E568&lt;&gt;"",frame_units!F568,NA())</f>
        <v/>
      </c>
    </row>
    <row r="572">
      <c r="U572">
        <f>IF(frame_units!E569&lt;&gt;"",frame_units!E569,NA())</f>
        <v/>
      </c>
      <c r="V572">
        <f>IF(frame_units!E569&lt;&gt;"",frame_units!F569,NA())</f>
        <v/>
      </c>
    </row>
    <row r="573">
      <c r="U573">
        <f>IF(frame_units!E570&lt;&gt;"",frame_units!E570,NA())</f>
        <v/>
      </c>
      <c r="V573">
        <f>IF(frame_units!E570&lt;&gt;"",frame_units!F570,NA())</f>
        <v/>
      </c>
    </row>
    <row r="574">
      <c r="U574">
        <f>IF(frame_units!E571&lt;&gt;"",frame_units!E571,NA())</f>
        <v/>
      </c>
      <c r="V574">
        <f>IF(frame_units!E571&lt;&gt;"",frame_units!F571,NA())</f>
        <v/>
      </c>
    </row>
    <row r="575">
      <c r="U575">
        <f>IF(frame_units!E572&lt;&gt;"",frame_units!E572,NA())</f>
        <v/>
      </c>
      <c r="V575">
        <f>IF(frame_units!E572&lt;&gt;"",frame_units!F572,NA())</f>
        <v/>
      </c>
    </row>
    <row r="576">
      <c r="U576">
        <f>IF(frame_units!E573&lt;&gt;"",frame_units!E573,NA())</f>
        <v/>
      </c>
      <c r="V576">
        <f>IF(frame_units!E573&lt;&gt;"",frame_units!F573,NA())</f>
        <v/>
      </c>
    </row>
    <row r="577">
      <c r="U577">
        <f>IF(frame_units!E574&lt;&gt;"",frame_units!E574,NA())</f>
        <v/>
      </c>
      <c r="V577">
        <f>IF(frame_units!E574&lt;&gt;"",frame_units!F574,NA())</f>
        <v/>
      </c>
    </row>
    <row r="578">
      <c r="U578">
        <f>IF(frame_units!E575&lt;&gt;"",frame_units!E575,NA())</f>
        <v/>
      </c>
      <c r="V578">
        <f>IF(frame_units!E575&lt;&gt;"",frame_units!F575,NA())</f>
        <v/>
      </c>
    </row>
    <row r="579">
      <c r="U579">
        <f>IF(frame_units!E576&lt;&gt;"",frame_units!E576,NA())</f>
        <v/>
      </c>
      <c r="V579">
        <f>IF(frame_units!E576&lt;&gt;"",frame_units!F576,NA())</f>
        <v/>
      </c>
    </row>
    <row r="580">
      <c r="U580">
        <f>IF(frame_units!E577&lt;&gt;"",frame_units!E577,NA())</f>
        <v/>
      </c>
      <c r="V580">
        <f>IF(frame_units!E577&lt;&gt;"",frame_units!F577,NA())</f>
        <v/>
      </c>
    </row>
    <row r="581">
      <c r="U581">
        <f>IF(frame_units!E578&lt;&gt;"",frame_units!E578,NA())</f>
        <v/>
      </c>
      <c r="V581">
        <f>IF(frame_units!E578&lt;&gt;"",frame_units!F578,NA())</f>
        <v/>
      </c>
    </row>
    <row r="582">
      <c r="U582">
        <f>IF(frame_units!E579&lt;&gt;"",frame_units!E579,NA())</f>
        <v/>
      </c>
      <c r="V582">
        <f>IF(frame_units!E579&lt;&gt;"",frame_units!F579,NA())</f>
        <v/>
      </c>
    </row>
    <row r="583">
      <c r="U583">
        <f>IF(frame_units!E580&lt;&gt;"",frame_units!E580,NA())</f>
        <v/>
      </c>
      <c r="V583">
        <f>IF(frame_units!E580&lt;&gt;"",frame_units!F580,NA())</f>
        <v/>
      </c>
    </row>
    <row r="584">
      <c r="U584">
        <f>IF(frame_units!E581&lt;&gt;"",frame_units!E581,NA())</f>
        <v/>
      </c>
      <c r="V584">
        <f>IF(frame_units!E581&lt;&gt;"",frame_units!F581,NA())</f>
        <v/>
      </c>
    </row>
    <row r="585">
      <c r="U585">
        <f>IF(frame_units!E582&lt;&gt;"",frame_units!E582,NA())</f>
        <v/>
      </c>
      <c r="V585">
        <f>IF(frame_units!E582&lt;&gt;"",frame_units!F582,NA())</f>
        <v/>
      </c>
    </row>
    <row r="586">
      <c r="U586">
        <f>IF(frame_units!E583&lt;&gt;"",frame_units!E583,NA())</f>
        <v/>
      </c>
      <c r="V586">
        <f>IF(frame_units!E583&lt;&gt;"",frame_units!F583,NA())</f>
        <v/>
      </c>
    </row>
    <row r="587">
      <c r="U587">
        <f>IF(frame_units!E584&lt;&gt;"",frame_units!E584,NA())</f>
        <v/>
      </c>
      <c r="V587">
        <f>IF(frame_units!E584&lt;&gt;"",frame_units!F584,NA())</f>
        <v/>
      </c>
    </row>
    <row r="588">
      <c r="U588">
        <f>IF(frame_units!E585&lt;&gt;"",frame_units!E585,NA())</f>
        <v/>
      </c>
      <c r="V588">
        <f>IF(frame_units!E585&lt;&gt;"",frame_units!F585,NA())</f>
        <v/>
      </c>
    </row>
    <row r="589">
      <c r="U589">
        <f>IF(frame_units!E586&lt;&gt;"",frame_units!E586,NA())</f>
        <v/>
      </c>
      <c r="V589">
        <f>IF(frame_units!E586&lt;&gt;"",frame_units!F586,NA())</f>
        <v/>
      </c>
    </row>
    <row r="590">
      <c r="U590">
        <f>IF(frame_units!E587&lt;&gt;"",frame_units!E587,NA())</f>
        <v/>
      </c>
      <c r="V590">
        <f>IF(frame_units!E587&lt;&gt;"",frame_units!F587,NA())</f>
        <v/>
      </c>
    </row>
    <row r="591">
      <c r="U591">
        <f>IF(frame_units!E588&lt;&gt;"",frame_units!E588,NA())</f>
        <v/>
      </c>
      <c r="V591">
        <f>IF(frame_units!E588&lt;&gt;"",frame_units!F588,NA())</f>
        <v/>
      </c>
    </row>
    <row r="592">
      <c r="U592">
        <f>IF(frame_units!E589&lt;&gt;"",frame_units!E589,NA())</f>
        <v/>
      </c>
      <c r="V592">
        <f>IF(frame_units!E589&lt;&gt;"",frame_units!F589,NA())</f>
        <v/>
      </c>
    </row>
    <row r="593">
      <c r="U593">
        <f>IF(frame_units!E590&lt;&gt;"",frame_units!E590,NA())</f>
        <v/>
      </c>
      <c r="V593">
        <f>IF(frame_units!E590&lt;&gt;"",frame_units!F590,NA())</f>
        <v/>
      </c>
    </row>
    <row r="594">
      <c r="U594">
        <f>IF(frame_units!E591&lt;&gt;"",frame_units!E591,NA())</f>
        <v/>
      </c>
      <c r="V594">
        <f>IF(frame_units!E591&lt;&gt;"",frame_units!F591,NA())</f>
        <v/>
      </c>
    </row>
    <row r="595">
      <c r="U595">
        <f>IF(frame_units!E592&lt;&gt;"",frame_units!E592,NA())</f>
        <v/>
      </c>
      <c r="V595">
        <f>IF(frame_units!E592&lt;&gt;"",frame_units!F592,NA())</f>
        <v/>
      </c>
    </row>
    <row r="596">
      <c r="U596">
        <f>IF(frame_units!E593&lt;&gt;"",frame_units!E593,NA())</f>
        <v/>
      </c>
      <c r="V596">
        <f>IF(frame_units!E593&lt;&gt;"",frame_units!F593,NA())</f>
        <v/>
      </c>
    </row>
    <row r="597">
      <c r="U597">
        <f>IF(frame_units!E594&lt;&gt;"",frame_units!E594,NA())</f>
        <v/>
      </c>
      <c r="V597">
        <f>IF(frame_units!E594&lt;&gt;"",frame_units!F594,NA())</f>
        <v/>
      </c>
    </row>
    <row r="598">
      <c r="U598">
        <f>IF(frame_units!E595&lt;&gt;"",frame_units!E595,NA())</f>
        <v/>
      </c>
      <c r="V598">
        <f>IF(frame_units!E595&lt;&gt;"",frame_units!F595,NA())</f>
        <v/>
      </c>
    </row>
    <row r="599">
      <c r="U599">
        <f>IF(frame_units!E596&lt;&gt;"",frame_units!E596,NA())</f>
        <v/>
      </c>
      <c r="V599">
        <f>IF(frame_units!E596&lt;&gt;"",frame_units!F596,NA())</f>
        <v/>
      </c>
    </row>
    <row r="600">
      <c r="U600">
        <f>IF(frame_units!E597&lt;&gt;"",frame_units!E597,NA())</f>
        <v/>
      </c>
      <c r="V600">
        <f>IF(frame_units!E597&lt;&gt;"",frame_units!F597,NA())</f>
        <v/>
      </c>
    </row>
    <row r="601">
      <c r="U601">
        <f>IF(frame_units!E598&lt;&gt;"",frame_units!E598,NA())</f>
        <v/>
      </c>
      <c r="V601">
        <f>IF(frame_units!E598&lt;&gt;"",frame_units!F598,NA())</f>
        <v/>
      </c>
    </row>
    <row r="602">
      <c r="U602">
        <f>IF(frame_units!E599&lt;&gt;"",frame_units!E599,NA())</f>
        <v/>
      </c>
      <c r="V602">
        <f>IF(frame_units!E599&lt;&gt;"",frame_units!F599,NA())</f>
        <v/>
      </c>
    </row>
    <row r="603">
      <c r="U603">
        <f>IF(frame_units!E600&lt;&gt;"",frame_units!E600,NA())</f>
        <v/>
      </c>
      <c r="V603">
        <f>IF(frame_units!E600&lt;&gt;"",frame_units!F600,NA())</f>
        <v/>
      </c>
    </row>
    <row r="604">
      <c r="U604">
        <f>IF(frame_units!E601&lt;&gt;"",frame_units!E601,NA())</f>
        <v/>
      </c>
      <c r="V604">
        <f>IF(frame_units!E601&lt;&gt;"",frame_units!F601,NA())</f>
        <v/>
      </c>
    </row>
    <row r="605">
      <c r="U605">
        <f>IF(frame_units!E602&lt;&gt;"",frame_units!E602,NA())</f>
        <v/>
      </c>
      <c r="V605">
        <f>IF(frame_units!E602&lt;&gt;"",frame_units!F602,NA())</f>
        <v/>
      </c>
    </row>
    <row r="606">
      <c r="U606">
        <f>IF(frame_units!E603&lt;&gt;"",frame_units!E603,NA())</f>
        <v/>
      </c>
      <c r="V606">
        <f>IF(frame_units!E603&lt;&gt;"",frame_units!F603,NA())</f>
        <v/>
      </c>
    </row>
    <row r="607">
      <c r="U607">
        <f>IF(frame_units!E604&lt;&gt;"",frame_units!E604,NA())</f>
        <v/>
      </c>
      <c r="V607">
        <f>IF(frame_units!E604&lt;&gt;"",frame_units!F604,NA())</f>
        <v/>
      </c>
    </row>
    <row r="608">
      <c r="U608">
        <f>IF(frame_units!E605&lt;&gt;"",frame_units!E605,NA())</f>
        <v/>
      </c>
      <c r="V608">
        <f>IF(frame_units!E605&lt;&gt;"",frame_units!F605,NA())</f>
        <v/>
      </c>
    </row>
    <row r="609">
      <c r="U609">
        <f>IF(frame_units!E606&lt;&gt;"",frame_units!E606,NA())</f>
        <v/>
      </c>
      <c r="V609">
        <f>IF(frame_units!E606&lt;&gt;"",frame_units!F606,NA())</f>
        <v/>
      </c>
    </row>
    <row r="610">
      <c r="U610">
        <f>IF(frame_units!E607&lt;&gt;"",frame_units!E607,NA())</f>
        <v/>
      </c>
      <c r="V610">
        <f>IF(frame_units!E607&lt;&gt;"",frame_units!F607,NA())</f>
        <v/>
      </c>
    </row>
    <row r="611">
      <c r="U611">
        <f>IF(frame_units!E608&lt;&gt;"",frame_units!E608,NA())</f>
        <v/>
      </c>
      <c r="V611">
        <f>IF(frame_units!E608&lt;&gt;"",frame_units!F608,NA())</f>
        <v/>
      </c>
    </row>
    <row r="612">
      <c r="U612">
        <f>IF(frame_units!E609&lt;&gt;"",frame_units!E609,NA())</f>
        <v/>
      </c>
      <c r="V612">
        <f>IF(frame_units!E609&lt;&gt;"",frame_units!F609,NA())</f>
        <v/>
      </c>
    </row>
    <row r="613">
      <c r="U613">
        <f>IF(frame_units!E610&lt;&gt;"",frame_units!E610,NA())</f>
        <v/>
      </c>
      <c r="V613">
        <f>IF(frame_units!E610&lt;&gt;"",frame_units!F610,NA())</f>
        <v/>
      </c>
    </row>
    <row r="614">
      <c r="U614">
        <f>IF(frame_units!E611&lt;&gt;"",frame_units!E611,NA())</f>
        <v/>
      </c>
      <c r="V614">
        <f>IF(frame_units!E611&lt;&gt;"",frame_units!F611,NA())</f>
        <v/>
      </c>
    </row>
    <row r="615">
      <c r="U615">
        <f>IF(frame_units!E612&lt;&gt;"",frame_units!E612,NA())</f>
        <v/>
      </c>
      <c r="V615">
        <f>IF(frame_units!E612&lt;&gt;"",frame_units!F612,NA())</f>
        <v/>
      </c>
    </row>
    <row r="616">
      <c r="U616">
        <f>IF(frame_units!E613&lt;&gt;"",frame_units!E613,NA())</f>
        <v/>
      </c>
      <c r="V616">
        <f>IF(frame_units!E613&lt;&gt;"",frame_units!F613,NA())</f>
        <v/>
      </c>
    </row>
    <row r="617">
      <c r="U617">
        <f>IF(frame_units!E614&lt;&gt;"",frame_units!E614,NA())</f>
        <v/>
      </c>
      <c r="V617">
        <f>IF(frame_units!E614&lt;&gt;"",frame_units!F614,NA())</f>
        <v/>
      </c>
    </row>
    <row r="618">
      <c r="U618">
        <f>IF(frame_units!E615&lt;&gt;"",frame_units!E615,NA())</f>
        <v/>
      </c>
      <c r="V618">
        <f>IF(frame_units!E615&lt;&gt;"",frame_units!F615,NA())</f>
        <v/>
      </c>
    </row>
    <row r="619">
      <c r="U619">
        <f>IF(frame_units!E616&lt;&gt;"",frame_units!E616,NA())</f>
        <v/>
      </c>
      <c r="V619">
        <f>IF(frame_units!E616&lt;&gt;"",frame_units!F616,NA())</f>
        <v/>
      </c>
    </row>
    <row r="620">
      <c r="U620">
        <f>IF(frame_units!E617&lt;&gt;"",frame_units!E617,NA())</f>
        <v/>
      </c>
      <c r="V620">
        <f>IF(frame_units!E617&lt;&gt;"",frame_units!F617,NA())</f>
        <v/>
      </c>
    </row>
    <row r="621">
      <c r="U621">
        <f>IF(frame_units!E618&lt;&gt;"",frame_units!E618,NA())</f>
        <v/>
      </c>
      <c r="V621">
        <f>IF(frame_units!E618&lt;&gt;"",frame_units!F618,NA())</f>
        <v/>
      </c>
    </row>
    <row r="622">
      <c r="U622">
        <f>IF(frame_units!E619&lt;&gt;"",frame_units!E619,NA())</f>
        <v/>
      </c>
      <c r="V622">
        <f>IF(frame_units!E619&lt;&gt;"",frame_units!F619,NA())</f>
        <v/>
      </c>
    </row>
    <row r="623">
      <c r="U623">
        <f>IF(frame_units!E620&lt;&gt;"",frame_units!E620,NA())</f>
        <v/>
      </c>
      <c r="V623">
        <f>IF(frame_units!E620&lt;&gt;"",frame_units!F620,NA())</f>
        <v/>
      </c>
    </row>
    <row r="624">
      <c r="U624">
        <f>IF(frame_units!E621&lt;&gt;"",frame_units!E621,NA())</f>
        <v/>
      </c>
      <c r="V624">
        <f>IF(frame_units!E621&lt;&gt;"",frame_units!F621,NA())</f>
        <v/>
      </c>
    </row>
    <row r="625">
      <c r="U625">
        <f>IF(frame_units!E622&lt;&gt;"",frame_units!E622,NA())</f>
        <v/>
      </c>
      <c r="V625">
        <f>IF(frame_units!E622&lt;&gt;"",frame_units!F622,NA())</f>
        <v/>
      </c>
    </row>
    <row r="626">
      <c r="U626">
        <f>IF(frame_units!E623&lt;&gt;"",frame_units!E623,NA())</f>
        <v/>
      </c>
      <c r="V626">
        <f>IF(frame_units!E623&lt;&gt;"",frame_units!F623,NA())</f>
        <v/>
      </c>
    </row>
    <row r="627">
      <c r="U627">
        <f>IF(frame_units!E624&lt;&gt;"",frame_units!E624,NA())</f>
        <v/>
      </c>
      <c r="V627">
        <f>IF(frame_units!E624&lt;&gt;"",frame_units!F624,NA())</f>
        <v/>
      </c>
    </row>
    <row r="628">
      <c r="U628">
        <f>IF(frame_units!E625&lt;&gt;"",frame_units!E625,NA())</f>
        <v/>
      </c>
      <c r="V628">
        <f>IF(frame_units!E625&lt;&gt;"",frame_units!F625,NA())</f>
        <v/>
      </c>
    </row>
    <row r="629">
      <c r="U629">
        <f>IF(frame_units!E626&lt;&gt;"",frame_units!E626,NA())</f>
        <v/>
      </c>
      <c r="V629">
        <f>IF(frame_units!E626&lt;&gt;"",frame_units!F626,NA())</f>
        <v/>
      </c>
    </row>
    <row r="630">
      <c r="U630">
        <f>IF(frame_units!E627&lt;&gt;"",frame_units!E627,NA())</f>
        <v/>
      </c>
      <c r="V630">
        <f>IF(frame_units!E627&lt;&gt;"",frame_units!F627,NA())</f>
        <v/>
      </c>
    </row>
    <row r="631">
      <c r="U631">
        <f>IF(frame_units!E628&lt;&gt;"",frame_units!E628,NA())</f>
        <v/>
      </c>
      <c r="V631">
        <f>IF(frame_units!E628&lt;&gt;"",frame_units!F628,NA())</f>
        <v/>
      </c>
    </row>
    <row r="632">
      <c r="U632">
        <f>IF(frame_units!E629&lt;&gt;"",frame_units!E629,NA())</f>
        <v/>
      </c>
      <c r="V632">
        <f>IF(frame_units!E629&lt;&gt;"",frame_units!F629,NA())</f>
        <v/>
      </c>
    </row>
    <row r="633">
      <c r="U633">
        <f>IF(frame_units!E630&lt;&gt;"",frame_units!E630,NA())</f>
        <v/>
      </c>
      <c r="V633">
        <f>IF(frame_units!E630&lt;&gt;"",frame_units!F630,NA())</f>
        <v/>
      </c>
    </row>
    <row r="634">
      <c r="U634">
        <f>IF(frame_units!E631&lt;&gt;"",frame_units!E631,NA())</f>
        <v/>
      </c>
      <c r="V634">
        <f>IF(frame_units!E631&lt;&gt;"",frame_units!F631,NA())</f>
        <v/>
      </c>
    </row>
    <row r="635">
      <c r="U635">
        <f>IF(frame_units!E632&lt;&gt;"",frame_units!E632,NA())</f>
        <v/>
      </c>
      <c r="V635">
        <f>IF(frame_units!E632&lt;&gt;"",frame_units!F632,NA())</f>
        <v/>
      </c>
    </row>
    <row r="636">
      <c r="U636">
        <f>IF(frame_units!E633&lt;&gt;"",frame_units!E633,NA())</f>
        <v/>
      </c>
      <c r="V636">
        <f>IF(frame_units!E633&lt;&gt;"",frame_units!F633,NA())</f>
        <v/>
      </c>
    </row>
    <row r="637">
      <c r="U637">
        <f>IF(frame_units!E634&lt;&gt;"",frame_units!E634,NA())</f>
        <v/>
      </c>
      <c r="V637">
        <f>IF(frame_units!E634&lt;&gt;"",frame_units!F634,NA())</f>
        <v/>
      </c>
    </row>
    <row r="638">
      <c r="U638">
        <f>IF(frame_units!E635&lt;&gt;"",frame_units!E635,NA())</f>
        <v/>
      </c>
      <c r="V638">
        <f>IF(frame_units!E635&lt;&gt;"",frame_units!F635,NA())</f>
        <v/>
      </c>
    </row>
    <row r="639">
      <c r="U639">
        <f>IF(frame_units!E636&lt;&gt;"",frame_units!E636,NA())</f>
        <v/>
      </c>
      <c r="V639">
        <f>IF(frame_units!E636&lt;&gt;"",frame_units!F636,NA())</f>
        <v/>
      </c>
    </row>
    <row r="640">
      <c r="U640">
        <f>IF(frame_units!E637&lt;&gt;"",frame_units!E637,NA())</f>
        <v/>
      </c>
      <c r="V640">
        <f>IF(frame_units!E637&lt;&gt;"",frame_units!F637,NA())</f>
        <v/>
      </c>
    </row>
    <row r="641">
      <c r="U641">
        <f>IF(frame_units!E638&lt;&gt;"",frame_units!E638,NA())</f>
        <v/>
      </c>
      <c r="V641">
        <f>IF(frame_units!E638&lt;&gt;"",frame_units!F638,NA())</f>
        <v/>
      </c>
    </row>
    <row r="642">
      <c r="U642">
        <f>IF(frame_units!E639&lt;&gt;"",frame_units!E639,NA())</f>
        <v/>
      </c>
      <c r="V642">
        <f>IF(frame_units!E639&lt;&gt;"",frame_units!F639,NA())</f>
        <v/>
      </c>
    </row>
    <row r="643">
      <c r="U643">
        <f>IF(frame_units!E640&lt;&gt;"",frame_units!E640,NA())</f>
        <v/>
      </c>
      <c r="V643">
        <f>IF(frame_units!E640&lt;&gt;"",frame_units!F640,NA())</f>
        <v/>
      </c>
    </row>
    <row r="644">
      <c r="U644">
        <f>IF(frame_units!E641&lt;&gt;"",frame_units!E641,NA())</f>
        <v/>
      </c>
      <c r="V644">
        <f>IF(frame_units!E641&lt;&gt;"",frame_units!F641,NA())</f>
        <v/>
      </c>
    </row>
    <row r="645">
      <c r="U645">
        <f>IF(frame_units!E642&lt;&gt;"",frame_units!E642,NA())</f>
        <v/>
      </c>
      <c r="V645">
        <f>IF(frame_units!E642&lt;&gt;"",frame_units!F642,NA())</f>
        <v/>
      </c>
    </row>
    <row r="646">
      <c r="U646">
        <f>IF(frame_units!E643&lt;&gt;"",frame_units!E643,NA())</f>
        <v/>
      </c>
      <c r="V646">
        <f>IF(frame_units!E643&lt;&gt;"",frame_units!F643,NA())</f>
        <v/>
      </c>
    </row>
    <row r="647">
      <c r="U647">
        <f>IF(frame_units!E644&lt;&gt;"",frame_units!E644,NA())</f>
        <v/>
      </c>
      <c r="V647">
        <f>IF(frame_units!E644&lt;&gt;"",frame_units!F644,NA())</f>
        <v/>
      </c>
    </row>
    <row r="648">
      <c r="U648">
        <f>IF(frame_units!E645&lt;&gt;"",frame_units!E645,NA())</f>
        <v/>
      </c>
      <c r="V648">
        <f>IF(frame_units!E645&lt;&gt;"",frame_units!F645,NA())</f>
        <v/>
      </c>
    </row>
    <row r="649">
      <c r="U649">
        <f>IF(frame_units!E646&lt;&gt;"",frame_units!E646,NA())</f>
        <v/>
      </c>
      <c r="V649">
        <f>IF(frame_units!E646&lt;&gt;"",frame_units!F646,NA())</f>
        <v/>
      </c>
    </row>
    <row r="650">
      <c r="U650">
        <f>IF(frame_units!E647&lt;&gt;"",frame_units!E647,NA())</f>
        <v/>
      </c>
      <c r="V650">
        <f>IF(frame_units!E647&lt;&gt;"",frame_units!F647,NA())</f>
        <v/>
      </c>
    </row>
    <row r="651">
      <c r="U651">
        <f>IF(frame_units!E648&lt;&gt;"",frame_units!E648,NA())</f>
        <v/>
      </c>
      <c r="V651">
        <f>IF(frame_units!E648&lt;&gt;"",frame_units!F648,NA())</f>
        <v/>
      </c>
    </row>
    <row r="652">
      <c r="U652">
        <f>IF(frame_units!E649&lt;&gt;"",frame_units!E649,NA())</f>
        <v/>
      </c>
      <c r="V652">
        <f>IF(frame_units!E649&lt;&gt;"",frame_units!F649,NA())</f>
        <v/>
      </c>
    </row>
    <row r="653">
      <c r="U653">
        <f>IF(frame_units!E650&lt;&gt;"",frame_units!E650,NA())</f>
        <v/>
      </c>
      <c r="V653">
        <f>IF(frame_units!E650&lt;&gt;"",frame_units!F650,NA())</f>
        <v/>
      </c>
    </row>
    <row r="654">
      <c r="U654">
        <f>IF(frame_units!E651&lt;&gt;"",frame_units!E651,NA())</f>
        <v/>
      </c>
      <c r="V654">
        <f>IF(frame_units!E651&lt;&gt;"",frame_units!F651,NA())</f>
        <v/>
      </c>
    </row>
    <row r="655">
      <c r="U655">
        <f>IF(frame_units!E652&lt;&gt;"",frame_units!E652,NA())</f>
        <v/>
      </c>
      <c r="V655">
        <f>IF(frame_units!E652&lt;&gt;"",frame_units!F652,NA())</f>
        <v/>
      </c>
    </row>
    <row r="656">
      <c r="U656">
        <f>IF(frame_units!E653&lt;&gt;"",frame_units!E653,NA())</f>
        <v/>
      </c>
      <c r="V656">
        <f>IF(frame_units!E653&lt;&gt;"",frame_units!F653,NA())</f>
        <v/>
      </c>
    </row>
    <row r="657">
      <c r="U657">
        <f>IF(frame_units!E654&lt;&gt;"",frame_units!E654,NA())</f>
        <v/>
      </c>
      <c r="V657">
        <f>IF(frame_units!E654&lt;&gt;"",frame_units!F654,NA())</f>
        <v/>
      </c>
    </row>
    <row r="658">
      <c r="U658">
        <f>IF(frame_units!E655&lt;&gt;"",frame_units!E655,NA())</f>
        <v/>
      </c>
      <c r="V658">
        <f>IF(frame_units!E655&lt;&gt;"",frame_units!F655,NA())</f>
        <v/>
      </c>
    </row>
    <row r="659">
      <c r="U659">
        <f>IF(frame_units!E656&lt;&gt;"",frame_units!E656,NA())</f>
        <v/>
      </c>
      <c r="V659">
        <f>IF(frame_units!E656&lt;&gt;"",frame_units!F656,NA())</f>
        <v/>
      </c>
    </row>
    <row r="660">
      <c r="U660">
        <f>IF(frame_units!E657&lt;&gt;"",frame_units!E657,NA())</f>
        <v/>
      </c>
      <c r="V660">
        <f>IF(frame_units!E657&lt;&gt;"",frame_units!F657,NA())</f>
        <v/>
      </c>
    </row>
    <row r="661">
      <c r="U661">
        <f>IF(frame_units!E658&lt;&gt;"",frame_units!E658,NA())</f>
        <v/>
      </c>
      <c r="V661">
        <f>IF(frame_units!E658&lt;&gt;"",frame_units!F658,NA())</f>
        <v/>
      </c>
    </row>
    <row r="662">
      <c r="U662">
        <f>IF(frame_units!E659&lt;&gt;"",frame_units!E659,NA())</f>
        <v/>
      </c>
      <c r="V662">
        <f>IF(frame_units!E659&lt;&gt;"",frame_units!F659,NA())</f>
        <v/>
      </c>
    </row>
    <row r="663">
      <c r="U663">
        <f>IF(frame_units!E660&lt;&gt;"",frame_units!E660,NA())</f>
        <v/>
      </c>
      <c r="V663">
        <f>IF(frame_units!E660&lt;&gt;"",frame_units!F660,NA())</f>
        <v/>
      </c>
    </row>
    <row r="664">
      <c r="U664">
        <f>IF(frame_units!E661&lt;&gt;"",frame_units!E661,NA())</f>
        <v/>
      </c>
      <c r="V664">
        <f>IF(frame_units!E661&lt;&gt;"",frame_units!F661,NA())</f>
        <v/>
      </c>
    </row>
    <row r="665">
      <c r="U665">
        <f>IF(frame_units!E662&lt;&gt;"",frame_units!E662,NA())</f>
        <v/>
      </c>
      <c r="V665">
        <f>IF(frame_units!E662&lt;&gt;"",frame_units!F662,NA())</f>
        <v/>
      </c>
    </row>
    <row r="666">
      <c r="U666">
        <f>IF(frame_units!E663&lt;&gt;"",frame_units!E663,NA())</f>
        <v/>
      </c>
      <c r="V666">
        <f>IF(frame_units!E663&lt;&gt;"",frame_units!F663,NA())</f>
        <v/>
      </c>
    </row>
    <row r="667">
      <c r="U667">
        <f>IF(frame_units!E664&lt;&gt;"",frame_units!E664,NA())</f>
        <v/>
      </c>
      <c r="V667">
        <f>IF(frame_units!E664&lt;&gt;"",frame_units!F664,NA())</f>
        <v/>
      </c>
    </row>
    <row r="668">
      <c r="U668">
        <f>IF(frame_units!E665&lt;&gt;"",frame_units!E665,NA())</f>
        <v/>
      </c>
      <c r="V668">
        <f>IF(frame_units!E665&lt;&gt;"",frame_units!F665,NA())</f>
        <v/>
      </c>
    </row>
    <row r="669">
      <c r="U669">
        <f>IF(frame_units!E666&lt;&gt;"",frame_units!E666,NA())</f>
        <v/>
      </c>
      <c r="V669">
        <f>IF(frame_units!E666&lt;&gt;"",frame_units!F666,NA())</f>
        <v/>
      </c>
    </row>
    <row r="670">
      <c r="U670">
        <f>IF(frame_units!E667&lt;&gt;"",frame_units!E667,NA())</f>
        <v/>
      </c>
      <c r="V670">
        <f>IF(frame_units!E667&lt;&gt;"",frame_units!F667,NA())</f>
        <v/>
      </c>
    </row>
    <row r="671">
      <c r="U671">
        <f>IF(frame_units!E668&lt;&gt;"",frame_units!E668,NA())</f>
        <v/>
      </c>
      <c r="V671">
        <f>IF(frame_units!E668&lt;&gt;"",frame_units!F668,NA())</f>
        <v/>
      </c>
    </row>
    <row r="672">
      <c r="U672">
        <f>IF(frame_units!E669&lt;&gt;"",frame_units!E669,NA())</f>
        <v/>
      </c>
      <c r="V672">
        <f>IF(frame_units!E669&lt;&gt;"",frame_units!F669,NA())</f>
        <v/>
      </c>
    </row>
    <row r="673">
      <c r="U673">
        <f>IF(frame_units!E670&lt;&gt;"",frame_units!E670,NA())</f>
        <v/>
      </c>
      <c r="V673">
        <f>IF(frame_units!E670&lt;&gt;"",frame_units!F670,NA())</f>
        <v/>
      </c>
    </row>
    <row r="674">
      <c r="U674">
        <f>IF(frame_units!E671&lt;&gt;"",frame_units!E671,NA())</f>
        <v/>
      </c>
      <c r="V674">
        <f>IF(frame_units!E671&lt;&gt;"",frame_units!F671,NA())</f>
        <v/>
      </c>
    </row>
    <row r="675">
      <c r="U675">
        <f>IF(frame_units!E672&lt;&gt;"",frame_units!E672,NA())</f>
        <v/>
      </c>
      <c r="V675">
        <f>IF(frame_units!E672&lt;&gt;"",frame_units!F672,NA())</f>
        <v/>
      </c>
    </row>
    <row r="676">
      <c r="U676">
        <f>IF(frame_units!E673&lt;&gt;"",frame_units!E673,NA())</f>
        <v/>
      </c>
      <c r="V676">
        <f>IF(frame_units!E673&lt;&gt;"",frame_units!F673,NA())</f>
        <v/>
      </c>
    </row>
    <row r="677">
      <c r="U677">
        <f>IF(frame_units!E674&lt;&gt;"",frame_units!E674,NA())</f>
        <v/>
      </c>
      <c r="V677">
        <f>IF(frame_units!E674&lt;&gt;"",frame_units!F674,NA())</f>
        <v/>
      </c>
    </row>
    <row r="678">
      <c r="U678">
        <f>IF(frame_units!E675&lt;&gt;"",frame_units!E675,NA())</f>
        <v/>
      </c>
      <c r="V678">
        <f>IF(frame_units!E675&lt;&gt;"",frame_units!F675,NA())</f>
        <v/>
      </c>
    </row>
    <row r="679">
      <c r="U679">
        <f>IF(frame_units!E676&lt;&gt;"",frame_units!E676,NA())</f>
        <v/>
      </c>
      <c r="V679">
        <f>IF(frame_units!E676&lt;&gt;"",frame_units!F676,NA())</f>
        <v/>
      </c>
    </row>
    <row r="680">
      <c r="U680">
        <f>IF(frame_units!E677&lt;&gt;"",frame_units!E677,NA())</f>
        <v/>
      </c>
      <c r="V680">
        <f>IF(frame_units!E677&lt;&gt;"",frame_units!F677,NA())</f>
        <v/>
      </c>
    </row>
    <row r="681">
      <c r="U681">
        <f>IF(frame_units!E678&lt;&gt;"",frame_units!E678,NA())</f>
        <v/>
      </c>
      <c r="V681">
        <f>IF(frame_units!E678&lt;&gt;"",frame_units!F678,NA())</f>
        <v/>
      </c>
    </row>
    <row r="682">
      <c r="U682">
        <f>IF(frame_units!E679&lt;&gt;"",frame_units!E679,NA())</f>
        <v/>
      </c>
      <c r="V682">
        <f>IF(frame_units!E679&lt;&gt;"",frame_units!F679,NA())</f>
        <v/>
      </c>
    </row>
    <row r="683">
      <c r="U683">
        <f>IF(frame_units!E680&lt;&gt;"",frame_units!E680,NA())</f>
        <v/>
      </c>
      <c r="V683">
        <f>IF(frame_units!E680&lt;&gt;"",frame_units!F680,NA())</f>
        <v/>
      </c>
    </row>
    <row r="684">
      <c r="U684">
        <f>IF(frame_units!E681&lt;&gt;"",frame_units!E681,NA())</f>
        <v/>
      </c>
      <c r="V684">
        <f>IF(frame_units!E681&lt;&gt;"",frame_units!F681,NA())</f>
        <v/>
      </c>
    </row>
    <row r="685">
      <c r="U685">
        <f>IF(frame_units!E682&lt;&gt;"",frame_units!E682,NA())</f>
        <v/>
      </c>
      <c r="V685">
        <f>IF(frame_units!E682&lt;&gt;"",frame_units!F682,NA())</f>
        <v/>
      </c>
    </row>
    <row r="686">
      <c r="U686">
        <f>IF(frame_units!E683&lt;&gt;"",frame_units!E683,NA())</f>
        <v/>
      </c>
      <c r="V686">
        <f>IF(frame_units!E683&lt;&gt;"",frame_units!F683,NA())</f>
        <v/>
      </c>
    </row>
    <row r="687">
      <c r="U687">
        <f>IF(frame_units!E684&lt;&gt;"",frame_units!E684,NA())</f>
        <v/>
      </c>
      <c r="V687">
        <f>IF(frame_units!E684&lt;&gt;"",frame_units!F684,NA())</f>
        <v/>
      </c>
    </row>
    <row r="688">
      <c r="U688">
        <f>IF(frame_units!E685&lt;&gt;"",frame_units!E685,NA())</f>
        <v/>
      </c>
      <c r="V688">
        <f>IF(frame_units!E685&lt;&gt;"",frame_units!F685,NA())</f>
        <v/>
      </c>
    </row>
    <row r="689">
      <c r="U689">
        <f>IF(frame_units!E686&lt;&gt;"",frame_units!E686,NA())</f>
        <v/>
      </c>
      <c r="V689">
        <f>IF(frame_units!E686&lt;&gt;"",frame_units!F686,NA())</f>
        <v/>
      </c>
    </row>
    <row r="690">
      <c r="U690">
        <f>IF(frame_units!E687&lt;&gt;"",frame_units!E687,NA())</f>
        <v/>
      </c>
      <c r="V690">
        <f>IF(frame_units!E687&lt;&gt;"",frame_units!F687,NA())</f>
        <v/>
      </c>
    </row>
    <row r="691">
      <c r="U691">
        <f>IF(frame_units!E688&lt;&gt;"",frame_units!E688,NA())</f>
        <v/>
      </c>
      <c r="V691">
        <f>IF(frame_units!E688&lt;&gt;"",frame_units!F688,NA())</f>
        <v/>
      </c>
    </row>
    <row r="692">
      <c r="U692">
        <f>IF(frame_units!E689&lt;&gt;"",frame_units!E689,NA())</f>
        <v/>
      </c>
      <c r="V692">
        <f>IF(frame_units!E689&lt;&gt;"",frame_units!F689,NA())</f>
        <v/>
      </c>
    </row>
    <row r="693">
      <c r="U693">
        <f>IF(frame_units!E690&lt;&gt;"",frame_units!E690,NA())</f>
        <v/>
      </c>
      <c r="V693">
        <f>IF(frame_units!E690&lt;&gt;"",frame_units!F690,NA())</f>
        <v/>
      </c>
    </row>
    <row r="694">
      <c r="U694">
        <f>IF(frame_units!E691&lt;&gt;"",frame_units!E691,NA())</f>
        <v/>
      </c>
      <c r="V694">
        <f>IF(frame_units!E691&lt;&gt;"",frame_units!F691,NA())</f>
        <v/>
      </c>
    </row>
    <row r="695">
      <c r="U695">
        <f>IF(frame_units!E692&lt;&gt;"",frame_units!E692,NA())</f>
        <v/>
      </c>
      <c r="V695">
        <f>IF(frame_units!E692&lt;&gt;"",frame_units!F692,NA())</f>
        <v/>
      </c>
    </row>
    <row r="696">
      <c r="U696">
        <f>IF(frame_units!E693&lt;&gt;"",frame_units!E693,NA())</f>
        <v/>
      </c>
      <c r="V696">
        <f>IF(frame_units!E693&lt;&gt;"",frame_units!F693,NA())</f>
        <v/>
      </c>
    </row>
    <row r="697">
      <c r="U697">
        <f>IF(frame_units!E694&lt;&gt;"",frame_units!E694,NA())</f>
        <v/>
      </c>
      <c r="V697">
        <f>IF(frame_units!E694&lt;&gt;"",frame_units!F694,NA())</f>
        <v/>
      </c>
    </row>
    <row r="698">
      <c r="U698">
        <f>IF(frame_units!E695&lt;&gt;"",frame_units!E695,NA())</f>
        <v/>
      </c>
      <c r="V698">
        <f>IF(frame_units!E695&lt;&gt;"",frame_units!F695,NA())</f>
        <v/>
      </c>
    </row>
    <row r="699">
      <c r="U699">
        <f>IF(frame_units!E696&lt;&gt;"",frame_units!E696,NA())</f>
        <v/>
      </c>
      <c r="V699">
        <f>IF(frame_units!E696&lt;&gt;"",frame_units!F696,NA())</f>
        <v/>
      </c>
    </row>
    <row r="700">
      <c r="U700">
        <f>IF(frame_units!E697&lt;&gt;"",frame_units!E697,NA())</f>
        <v/>
      </c>
      <c r="V700">
        <f>IF(frame_units!E697&lt;&gt;"",frame_units!F697,NA())</f>
        <v/>
      </c>
    </row>
    <row r="701">
      <c r="U701">
        <f>IF(frame_units!E698&lt;&gt;"",frame_units!E698,NA())</f>
        <v/>
      </c>
      <c r="V701">
        <f>IF(frame_units!E698&lt;&gt;"",frame_units!F698,NA())</f>
        <v/>
      </c>
    </row>
    <row r="702">
      <c r="U702">
        <f>IF(frame_units!E699&lt;&gt;"",frame_units!E699,NA())</f>
        <v/>
      </c>
      <c r="V702">
        <f>IF(frame_units!E699&lt;&gt;"",frame_units!F699,NA())</f>
        <v/>
      </c>
    </row>
    <row r="703">
      <c r="U703">
        <f>IF(frame_units!E700&lt;&gt;"",frame_units!E700,NA())</f>
        <v/>
      </c>
      <c r="V703">
        <f>IF(frame_units!E700&lt;&gt;"",frame_units!F700,NA())</f>
        <v/>
      </c>
    </row>
    <row r="704">
      <c r="U704">
        <f>IF(frame_units!E701&lt;&gt;"",frame_units!E701,NA())</f>
        <v/>
      </c>
      <c r="V704">
        <f>IF(frame_units!E701&lt;&gt;"",frame_units!F701,NA())</f>
        <v/>
      </c>
    </row>
    <row r="705">
      <c r="U705">
        <f>IF(frame_units!E702&lt;&gt;"",frame_units!E702,NA())</f>
        <v/>
      </c>
      <c r="V705">
        <f>IF(frame_units!E702&lt;&gt;"",frame_units!F702,NA())</f>
        <v/>
      </c>
    </row>
    <row r="706">
      <c r="U706">
        <f>IF(frame_units!E703&lt;&gt;"",frame_units!E703,NA())</f>
        <v/>
      </c>
      <c r="V706">
        <f>IF(frame_units!E703&lt;&gt;"",frame_units!F703,NA())</f>
        <v/>
      </c>
    </row>
    <row r="707">
      <c r="U707">
        <f>IF(frame_units!E704&lt;&gt;"",frame_units!E704,NA())</f>
        <v/>
      </c>
      <c r="V707">
        <f>IF(frame_units!E704&lt;&gt;"",frame_units!F704,NA())</f>
        <v/>
      </c>
    </row>
    <row r="708">
      <c r="U708">
        <f>IF(frame_units!E705&lt;&gt;"",frame_units!E705,NA())</f>
        <v/>
      </c>
      <c r="V708">
        <f>IF(frame_units!E705&lt;&gt;"",frame_units!F705,NA())</f>
        <v/>
      </c>
    </row>
    <row r="709">
      <c r="U709">
        <f>IF(frame_units!E706&lt;&gt;"",frame_units!E706,NA())</f>
        <v/>
      </c>
      <c r="V709">
        <f>IF(frame_units!E706&lt;&gt;"",frame_units!F706,NA())</f>
        <v/>
      </c>
    </row>
    <row r="710">
      <c r="U710">
        <f>IF(frame_units!E707&lt;&gt;"",frame_units!E707,NA())</f>
        <v/>
      </c>
      <c r="V710">
        <f>IF(frame_units!E707&lt;&gt;"",frame_units!F707,NA())</f>
        <v/>
      </c>
    </row>
    <row r="711">
      <c r="U711">
        <f>IF(frame_units!E708&lt;&gt;"",frame_units!E708,NA())</f>
        <v/>
      </c>
      <c r="V711">
        <f>IF(frame_units!E708&lt;&gt;"",frame_units!F708,NA())</f>
        <v/>
      </c>
    </row>
    <row r="712">
      <c r="U712">
        <f>IF(frame_units!E709&lt;&gt;"",frame_units!E709,NA())</f>
        <v/>
      </c>
      <c r="V712">
        <f>IF(frame_units!E709&lt;&gt;"",frame_units!F709,NA())</f>
        <v/>
      </c>
    </row>
    <row r="713">
      <c r="U713">
        <f>IF(frame_units!E710&lt;&gt;"",frame_units!E710,NA())</f>
        <v/>
      </c>
      <c r="V713">
        <f>IF(frame_units!E710&lt;&gt;"",frame_units!F710,NA())</f>
        <v/>
      </c>
    </row>
    <row r="714">
      <c r="U714">
        <f>IF(frame_units!E711&lt;&gt;"",frame_units!E711,NA())</f>
        <v/>
      </c>
      <c r="V714">
        <f>IF(frame_units!E711&lt;&gt;"",frame_units!F711,NA())</f>
        <v/>
      </c>
    </row>
    <row r="715">
      <c r="U715">
        <f>IF(frame_units!E712&lt;&gt;"",frame_units!E712,NA())</f>
        <v/>
      </c>
      <c r="V715">
        <f>IF(frame_units!E712&lt;&gt;"",frame_units!F712,NA())</f>
        <v/>
      </c>
    </row>
    <row r="716">
      <c r="U716">
        <f>IF(frame_units!E713&lt;&gt;"",frame_units!E713,NA())</f>
        <v/>
      </c>
      <c r="V716">
        <f>IF(frame_units!E713&lt;&gt;"",frame_units!F713,NA())</f>
        <v/>
      </c>
    </row>
    <row r="717">
      <c r="U717">
        <f>IF(frame_units!E714&lt;&gt;"",frame_units!E714,NA())</f>
        <v/>
      </c>
      <c r="V717">
        <f>IF(frame_units!E714&lt;&gt;"",frame_units!F714,NA())</f>
        <v/>
      </c>
    </row>
    <row r="718">
      <c r="U718">
        <f>IF(frame_units!E715&lt;&gt;"",frame_units!E715,NA())</f>
        <v/>
      </c>
      <c r="V718">
        <f>IF(frame_units!E715&lt;&gt;"",frame_units!F715,NA())</f>
        <v/>
      </c>
    </row>
    <row r="719">
      <c r="U719">
        <f>IF(frame_units!E716&lt;&gt;"",frame_units!E716,NA())</f>
        <v/>
      </c>
      <c r="V719">
        <f>IF(frame_units!E716&lt;&gt;"",frame_units!F716,NA())</f>
        <v/>
      </c>
    </row>
    <row r="720">
      <c r="U720">
        <f>IF(frame_units!E717&lt;&gt;"",frame_units!E717,NA())</f>
        <v/>
      </c>
      <c r="V720">
        <f>IF(frame_units!E717&lt;&gt;"",frame_units!F717,NA())</f>
        <v/>
      </c>
    </row>
    <row r="721">
      <c r="U721">
        <f>IF(frame_units!E718&lt;&gt;"",frame_units!E718,NA())</f>
        <v/>
      </c>
      <c r="V721">
        <f>IF(frame_units!E718&lt;&gt;"",frame_units!F718,NA())</f>
        <v/>
      </c>
    </row>
    <row r="722">
      <c r="U722">
        <f>IF(frame_units!E719&lt;&gt;"",frame_units!E719,NA())</f>
        <v/>
      </c>
      <c r="V722">
        <f>IF(frame_units!E719&lt;&gt;"",frame_units!F719,NA())</f>
        <v/>
      </c>
    </row>
    <row r="723">
      <c r="U723">
        <f>IF(frame_units!E720&lt;&gt;"",frame_units!E720,NA())</f>
        <v/>
      </c>
      <c r="V723">
        <f>IF(frame_units!E720&lt;&gt;"",frame_units!F720,NA())</f>
        <v/>
      </c>
    </row>
    <row r="724">
      <c r="U724">
        <f>IF(frame_units!E721&lt;&gt;"",frame_units!E721,NA())</f>
        <v/>
      </c>
      <c r="V724">
        <f>IF(frame_units!E721&lt;&gt;"",frame_units!F721,NA())</f>
        <v/>
      </c>
    </row>
    <row r="725">
      <c r="U725">
        <f>IF(frame_units!E722&lt;&gt;"",frame_units!E722,NA())</f>
        <v/>
      </c>
      <c r="V725">
        <f>IF(frame_units!E722&lt;&gt;"",frame_units!F722,NA())</f>
        <v/>
      </c>
    </row>
    <row r="726">
      <c r="U726">
        <f>IF(frame_units!E723&lt;&gt;"",frame_units!E723,NA())</f>
        <v/>
      </c>
      <c r="V726">
        <f>IF(frame_units!E723&lt;&gt;"",frame_units!F723,NA())</f>
        <v/>
      </c>
    </row>
    <row r="727">
      <c r="U727">
        <f>IF(frame_units!E724&lt;&gt;"",frame_units!E724,NA())</f>
        <v/>
      </c>
      <c r="V727">
        <f>IF(frame_units!E724&lt;&gt;"",frame_units!F724,NA())</f>
        <v/>
      </c>
    </row>
    <row r="728">
      <c r="U728">
        <f>IF(frame_units!E725&lt;&gt;"",frame_units!E725,NA())</f>
        <v/>
      </c>
      <c r="V728">
        <f>IF(frame_units!E725&lt;&gt;"",frame_units!F725,NA())</f>
        <v/>
      </c>
    </row>
    <row r="729">
      <c r="U729">
        <f>IF(frame_units!E726&lt;&gt;"",frame_units!E726,NA())</f>
        <v/>
      </c>
      <c r="V729">
        <f>IF(frame_units!E726&lt;&gt;"",frame_units!F726,NA())</f>
        <v/>
      </c>
    </row>
    <row r="730">
      <c r="U730">
        <f>IF(frame_units!E727&lt;&gt;"",frame_units!E727,NA())</f>
        <v/>
      </c>
      <c r="V730">
        <f>IF(frame_units!E727&lt;&gt;"",frame_units!F727,NA())</f>
        <v/>
      </c>
    </row>
    <row r="731">
      <c r="U731">
        <f>IF(frame_units!E728&lt;&gt;"",frame_units!E728,NA())</f>
        <v/>
      </c>
      <c r="V731">
        <f>IF(frame_units!E728&lt;&gt;"",frame_units!F728,NA())</f>
        <v/>
      </c>
    </row>
    <row r="732">
      <c r="U732">
        <f>IF(frame_units!E729&lt;&gt;"",frame_units!E729,NA())</f>
        <v/>
      </c>
      <c r="V732">
        <f>IF(frame_units!E729&lt;&gt;"",frame_units!F729,NA())</f>
        <v/>
      </c>
    </row>
    <row r="733">
      <c r="U733">
        <f>IF(frame_units!E730&lt;&gt;"",frame_units!E730,NA())</f>
        <v/>
      </c>
      <c r="V733">
        <f>IF(frame_units!E730&lt;&gt;"",frame_units!F730,NA())</f>
        <v/>
      </c>
    </row>
    <row r="734">
      <c r="U734">
        <f>IF(frame_units!E731&lt;&gt;"",frame_units!E731,NA())</f>
        <v/>
      </c>
      <c r="V734">
        <f>IF(frame_units!E731&lt;&gt;"",frame_units!F731,NA())</f>
        <v/>
      </c>
    </row>
    <row r="735">
      <c r="U735">
        <f>IF(frame_units!E732&lt;&gt;"",frame_units!E732,NA())</f>
        <v/>
      </c>
      <c r="V735">
        <f>IF(frame_units!E732&lt;&gt;"",frame_units!F732,NA())</f>
        <v/>
      </c>
    </row>
    <row r="736">
      <c r="U736">
        <f>IF(frame_units!E733&lt;&gt;"",frame_units!E733,NA())</f>
        <v/>
      </c>
      <c r="V736">
        <f>IF(frame_units!E733&lt;&gt;"",frame_units!F733,NA())</f>
        <v/>
      </c>
    </row>
    <row r="737">
      <c r="U737">
        <f>IF(frame_units!E734&lt;&gt;"",frame_units!E734,NA())</f>
        <v/>
      </c>
      <c r="V737">
        <f>IF(frame_units!E734&lt;&gt;"",frame_units!F734,NA())</f>
        <v/>
      </c>
    </row>
    <row r="738">
      <c r="U738">
        <f>IF(frame_units!E735&lt;&gt;"",frame_units!E735,NA())</f>
        <v/>
      </c>
      <c r="V738">
        <f>IF(frame_units!E735&lt;&gt;"",frame_units!F735,NA())</f>
        <v/>
      </c>
    </row>
    <row r="739">
      <c r="U739">
        <f>IF(frame_units!E736&lt;&gt;"",frame_units!E736,NA())</f>
        <v/>
      </c>
      <c r="V739">
        <f>IF(frame_units!E736&lt;&gt;"",frame_units!F736,NA())</f>
        <v/>
      </c>
    </row>
    <row r="740">
      <c r="U740">
        <f>IF(frame_units!E737&lt;&gt;"",frame_units!E737,NA())</f>
        <v/>
      </c>
      <c r="V740">
        <f>IF(frame_units!E737&lt;&gt;"",frame_units!F737,NA())</f>
        <v/>
      </c>
    </row>
    <row r="741">
      <c r="U741">
        <f>IF(frame_units!E738&lt;&gt;"",frame_units!E738,NA())</f>
        <v/>
      </c>
      <c r="V741">
        <f>IF(frame_units!E738&lt;&gt;"",frame_units!F738,NA())</f>
        <v/>
      </c>
    </row>
    <row r="742">
      <c r="U742">
        <f>IF(frame_units!E739&lt;&gt;"",frame_units!E739,NA())</f>
        <v/>
      </c>
      <c r="V742">
        <f>IF(frame_units!E739&lt;&gt;"",frame_units!F739,NA())</f>
        <v/>
      </c>
    </row>
    <row r="743">
      <c r="U743">
        <f>IF(frame_units!E740&lt;&gt;"",frame_units!E740,NA())</f>
        <v/>
      </c>
      <c r="V743">
        <f>IF(frame_units!E740&lt;&gt;"",frame_units!F740,NA())</f>
        <v/>
      </c>
    </row>
    <row r="744">
      <c r="U744">
        <f>IF(frame_units!E741&lt;&gt;"",frame_units!E741,NA())</f>
        <v/>
      </c>
      <c r="V744">
        <f>IF(frame_units!E741&lt;&gt;"",frame_units!F741,NA())</f>
        <v/>
      </c>
    </row>
    <row r="745">
      <c r="U745">
        <f>IF(frame_units!E742&lt;&gt;"",frame_units!E742,NA())</f>
        <v/>
      </c>
      <c r="V745">
        <f>IF(frame_units!E742&lt;&gt;"",frame_units!F742,NA())</f>
        <v/>
      </c>
    </row>
    <row r="746">
      <c r="U746">
        <f>IF(frame_units!E743&lt;&gt;"",frame_units!E743,NA())</f>
        <v/>
      </c>
      <c r="V746">
        <f>IF(frame_units!E743&lt;&gt;"",frame_units!F743,NA())</f>
        <v/>
      </c>
    </row>
    <row r="747">
      <c r="U747">
        <f>IF(frame_units!E744&lt;&gt;"",frame_units!E744,NA())</f>
        <v/>
      </c>
      <c r="V747">
        <f>IF(frame_units!E744&lt;&gt;"",frame_units!F744,NA())</f>
        <v/>
      </c>
    </row>
    <row r="748">
      <c r="U748">
        <f>IF(frame_units!E745&lt;&gt;"",frame_units!E745,NA())</f>
        <v/>
      </c>
      <c r="V748">
        <f>IF(frame_units!E745&lt;&gt;"",frame_units!F745,NA())</f>
        <v/>
      </c>
    </row>
    <row r="749">
      <c r="U749">
        <f>IF(frame_units!E746&lt;&gt;"",frame_units!E746,NA())</f>
        <v/>
      </c>
      <c r="V749">
        <f>IF(frame_units!E746&lt;&gt;"",frame_units!F746,NA())</f>
        <v/>
      </c>
    </row>
    <row r="750">
      <c r="U750">
        <f>IF(frame_units!E747&lt;&gt;"",frame_units!E747,NA())</f>
        <v/>
      </c>
      <c r="V750">
        <f>IF(frame_units!E747&lt;&gt;"",frame_units!F747,NA())</f>
        <v/>
      </c>
    </row>
    <row r="751">
      <c r="U751">
        <f>IF(frame_units!E748&lt;&gt;"",frame_units!E748,NA())</f>
        <v/>
      </c>
      <c r="V751">
        <f>IF(frame_units!E748&lt;&gt;"",frame_units!F748,NA())</f>
        <v/>
      </c>
    </row>
    <row r="752">
      <c r="U752">
        <f>IF(frame_units!E749&lt;&gt;"",frame_units!E749,NA())</f>
        <v/>
      </c>
      <c r="V752">
        <f>IF(frame_units!E749&lt;&gt;"",frame_units!F749,NA())</f>
        <v/>
      </c>
    </row>
    <row r="753">
      <c r="U753">
        <f>IF(frame_units!E750&lt;&gt;"",frame_units!E750,NA())</f>
        <v/>
      </c>
      <c r="V753">
        <f>IF(frame_units!E750&lt;&gt;"",frame_units!F750,NA())</f>
        <v/>
      </c>
    </row>
    <row r="754">
      <c r="U754">
        <f>IF(frame_units!E751&lt;&gt;"",frame_units!E751,NA())</f>
        <v/>
      </c>
      <c r="V754">
        <f>IF(frame_units!E751&lt;&gt;"",frame_units!F751,NA())</f>
        <v/>
      </c>
    </row>
    <row r="755">
      <c r="U755">
        <f>IF(frame_units!E752&lt;&gt;"",frame_units!E752,NA())</f>
        <v/>
      </c>
      <c r="V755">
        <f>IF(frame_units!E752&lt;&gt;"",frame_units!F752,NA())</f>
        <v/>
      </c>
    </row>
    <row r="756">
      <c r="U756">
        <f>IF(frame_units!E753&lt;&gt;"",frame_units!E753,NA())</f>
        <v/>
      </c>
      <c r="V756">
        <f>IF(frame_units!E753&lt;&gt;"",frame_units!F753,NA())</f>
        <v/>
      </c>
    </row>
    <row r="757">
      <c r="U757">
        <f>IF(frame_units!E754&lt;&gt;"",frame_units!E754,NA())</f>
        <v/>
      </c>
      <c r="V757">
        <f>IF(frame_units!E754&lt;&gt;"",frame_units!F754,NA())</f>
        <v/>
      </c>
    </row>
    <row r="758">
      <c r="U758">
        <f>IF(frame_units!E755&lt;&gt;"",frame_units!E755,NA())</f>
        <v/>
      </c>
      <c r="V758">
        <f>IF(frame_units!E755&lt;&gt;"",frame_units!F755,NA())</f>
        <v/>
      </c>
    </row>
    <row r="759">
      <c r="U759">
        <f>IF(frame_units!E756&lt;&gt;"",frame_units!E756,NA())</f>
        <v/>
      </c>
      <c r="V759">
        <f>IF(frame_units!E756&lt;&gt;"",frame_units!F756,NA())</f>
        <v/>
      </c>
    </row>
    <row r="760">
      <c r="U760">
        <f>IF(frame_units!E757&lt;&gt;"",frame_units!E757,NA())</f>
        <v/>
      </c>
      <c r="V760">
        <f>IF(frame_units!E757&lt;&gt;"",frame_units!F757,NA())</f>
        <v/>
      </c>
    </row>
    <row r="761">
      <c r="U761">
        <f>IF(frame_units!E758&lt;&gt;"",frame_units!E758,NA())</f>
        <v/>
      </c>
      <c r="V761">
        <f>IF(frame_units!E758&lt;&gt;"",frame_units!F758,NA())</f>
        <v/>
      </c>
    </row>
    <row r="762">
      <c r="U762">
        <f>IF(frame_units!E759&lt;&gt;"",frame_units!E759,NA())</f>
        <v/>
      </c>
      <c r="V762">
        <f>IF(frame_units!E759&lt;&gt;"",frame_units!F759,NA())</f>
        <v/>
      </c>
    </row>
    <row r="763">
      <c r="U763">
        <f>IF(frame_units!E760&lt;&gt;"",frame_units!E760,NA())</f>
        <v/>
      </c>
      <c r="V763">
        <f>IF(frame_units!E760&lt;&gt;"",frame_units!F760,NA())</f>
        <v/>
      </c>
    </row>
    <row r="764">
      <c r="U764">
        <f>IF(frame_units!E761&lt;&gt;"",frame_units!E761,NA())</f>
        <v/>
      </c>
      <c r="V764">
        <f>IF(frame_units!E761&lt;&gt;"",frame_units!F761,NA())</f>
        <v/>
      </c>
    </row>
    <row r="765">
      <c r="U765">
        <f>IF(frame_units!E762&lt;&gt;"",frame_units!E762,NA())</f>
        <v/>
      </c>
      <c r="V765">
        <f>IF(frame_units!E762&lt;&gt;"",frame_units!F762,NA())</f>
        <v/>
      </c>
    </row>
    <row r="766">
      <c r="U766">
        <f>IF(frame_units!E763&lt;&gt;"",frame_units!E763,NA())</f>
        <v/>
      </c>
      <c r="V766">
        <f>IF(frame_units!E763&lt;&gt;"",frame_units!F763,NA())</f>
        <v/>
      </c>
    </row>
    <row r="767">
      <c r="U767">
        <f>IF(frame_units!E764&lt;&gt;"",frame_units!E764,NA())</f>
        <v/>
      </c>
      <c r="V767">
        <f>IF(frame_units!E764&lt;&gt;"",frame_units!F764,NA())</f>
        <v/>
      </c>
    </row>
    <row r="768">
      <c r="U768">
        <f>IF(frame_units!E765&lt;&gt;"",frame_units!E765,NA())</f>
        <v/>
      </c>
      <c r="V768">
        <f>IF(frame_units!E765&lt;&gt;"",frame_units!F765,NA())</f>
        <v/>
      </c>
    </row>
    <row r="769">
      <c r="U769">
        <f>IF(frame_units!E766&lt;&gt;"",frame_units!E766,NA())</f>
        <v/>
      </c>
      <c r="V769">
        <f>IF(frame_units!E766&lt;&gt;"",frame_units!F766,NA())</f>
        <v/>
      </c>
    </row>
    <row r="770">
      <c r="U770">
        <f>IF(frame_units!E767&lt;&gt;"",frame_units!E767,NA())</f>
        <v/>
      </c>
      <c r="V770">
        <f>IF(frame_units!E767&lt;&gt;"",frame_units!F767,NA())</f>
        <v/>
      </c>
    </row>
    <row r="771">
      <c r="U771">
        <f>IF(frame_units!E768&lt;&gt;"",frame_units!E768,NA())</f>
        <v/>
      </c>
      <c r="V771">
        <f>IF(frame_units!E768&lt;&gt;"",frame_units!F768,NA())</f>
        <v/>
      </c>
    </row>
    <row r="772">
      <c r="U772">
        <f>IF(frame_units!E769&lt;&gt;"",frame_units!E769,NA())</f>
        <v/>
      </c>
      <c r="V772">
        <f>IF(frame_units!E769&lt;&gt;"",frame_units!F769,NA())</f>
        <v/>
      </c>
    </row>
    <row r="773">
      <c r="U773">
        <f>IF(frame_units!E770&lt;&gt;"",frame_units!E770,NA())</f>
        <v/>
      </c>
      <c r="V773">
        <f>IF(frame_units!E770&lt;&gt;"",frame_units!F770,NA())</f>
        <v/>
      </c>
    </row>
    <row r="774">
      <c r="U774">
        <f>IF(frame_units!E771&lt;&gt;"",frame_units!E771,NA())</f>
        <v/>
      </c>
      <c r="V774">
        <f>IF(frame_units!E771&lt;&gt;"",frame_units!F771,NA())</f>
        <v/>
      </c>
    </row>
    <row r="775">
      <c r="U775">
        <f>IF(frame_units!E772&lt;&gt;"",frame_units!E772,NA())</f>
        <v/>
      </c>
      <c r="V775">
        <f>IF(frame_units!E772&lt;&gt;"",frame_units!F772,NA())</f>
        <v/>
      </c>
    </row>
    <row r="776">
      <c r="U776">
        <f>IF(frame_units!E773&lt;&gt;"",frame_units!E773,NA())</f>
        <v/>
      </c>
      <c r="V776">
        <f>IF(frame_units!E773&lt;&gt;"",frame_units!F773,NA())</f>
        <v/>
      </c>
    </row>
    <row r="777">
      <c r="U777">
        <f>IF(frame_units!E774&lt;&gt;"",frame_units!E774,NA())</f>
        <v/>
      </c>
      <c r="V777">
        <f>IF(frame_units!E774&lt;&gt;"",frame_units!F774,NA())</f>
        <v/>
      </c>
    </row>
    <row r="778">
      <c r="U778">
        <f>IF(frame_units!E775&lt;&gt;"",frame_units!E775,NA())</f>
        <v/>
      </c>
      <c r="V778">
        <f>IF(frame_units!E775&lt;&gt;"",frame_units!F775,NA())</f>
        <v/>
      </c>
    </row>
    <row r="779">
      <c r="U779">
        <f>IF(frame_units!E776&lt;&gt;"",frame_units!E776,NA())</f>
        <v/>
      </c>
      <c r="V779">
        <f>IF(frame_units!E776&lt;&gt;"",frame_units!F776,NA())</f>
        <v/>
      </c>
    </row>
    <row r="780">
      <c r="U780">
        <f>IF(frame_units!E777&lt;&gt;"",frame_units!E777,NA())</f>
        <v/>
      </c>
      <c r="V780">
        <f>IF(frame_units!E777&lt;&gt;"",frame_units!F777,NA())</f>
        <v/>
      </c>
    </row>
    <row r="781">
      <c r="U781">
        <f>IF(frame_units!E778&lt;&gt;"",frame_units!E778,NA())</f>
        <v/>
      </c>
      <c r="V781">
        <f>IF(frame_units!E778&lt;&gt;"",frame_units!F778,NA())</f>
        <v/>
      </c>
    </row>
    <row r="782">
      <c r="U782">
        <f>IF(frame_units!E779&lt;&gt;"",frame_units!E779,NA())</f>
        <v/>
      </c>
      <c r="V782">
        <f>IF(frame_units!E779&lt;&gt;"",frame_units!F779,NA())</f>
        <v/>
      </c>
    </row>
    <row r="783">
      <c r="U783">
        <f>IF(frame_units!E780&lt;&gt;"",frame_units!E780,NA())</f>
        <v/>
      </c>
      <c r="V783">
        <f>IF(frame_units!E780&lt;&gt;"",frame_units!F780,NA())</f>
        <v/>
      </c>
    </row>
    <row r="784">
      <c r="U784">
        <f>IF(frame_units!E781&lt;&gt;"",frame_units!E781,NA())</f>
        <v/>
      </c>
      <c r="V784">
        <f>IF(frame_units!E781&lt;&gt;"",frame_units!F781,NA())</f>
        <v/>
      </c>
    </row>
    <row r="785">
      <c r="U785">
        <f>IF(frame_units!E782&lt;&gt;"",frame_units!E782,NA())</f>
        <v/>
      </c>
      <c r="V785">
        <f>IF(frame_units!E782&lt;&gt;"",frame_units!F782,NA())</f>
        <v/>
      </c>
    </row>
    <row r="786">
      <c r="U786">
        <f>IF(frame_units!E783&lt;&gt;"",frame_units!E783,NA())</f>
        <v/>
      </c>
      <c r="V786">
        <f>IF(frame_units!E783&lt;&gt;"",frame_units!F783,NA())</f>
        <v/>
      </c>
    </row>
    <row r="787">
      <c r="U787">
        <f>IF(frame_units!E784&lt;&gt;"",frame_units!E784,NA())</f>
        <v/>
      </c>
      <c r="V787">
        <f>IF(frame_units!E784&lt;&gt;"",frame_units!F784,NA())</f>
        <v/>
      </c>
    </row>
    <row r="788">
      <c r="U788">
        <f>IF(frame_units!E785&lt;&gt;"",frame_units!E785,NA())</f>
        <v/>
      </c>
      <c r="V788">
        <f>IF(frame_units!E785&lt;&gt;"",frame_units!F785,NA())</f>
        <v/>
      </c>
    </row>
    <row r="789">
      <c r="U789">
        <f>IF(frame_units!E786&lt;&gt;"",frame_units!E786,NA())</f>
        <v/>
      </c>
      <c r="V789">
        <f>IF(frame_units!E786&lt;&gt;"",frame_units!F786,NA())</f>
        <v/>
      </c>
    </row>
    <row r="790">
      <c r="U790">
        <f>IF(frame_units!E787&lt;&gt;"",frame_units!E787,NA())</f>
        <v/>
      </c>
      <c r="V790">
        <f>IF(frame_units!E787&lt;&gt;"",frame_units!F787,NA())</f>
        <v/>
      </c>
    </row>
    <row r="791">
      <c r="U791">
        <f>IF(frame_units!E788&lt;&gt;"",frame_units!E788,NA())</f>
        <v/>
      </c>
      <c r="V791">
        <f>IF(frame_units!E788&lt;&gt;"",frame_units!F788,NA())</f>
        <v/>
      </c>
    </row>
    <row r="792">
      <c r="U792">
        <f>IF(frame_units!E789&lt;&gt;"",frame_units!E789,NA())</f>
        <v/>
      </c>
      <c r="V792">
        <f>IF(frame_units!E789&lt;&gt;"",frame_units!F789,NA())</f>
        <v/>
      </c>
    </row>
    <row r="793">
      <c r="U793">
        <f>IF(frame_units!E790&lt;&gt;"",frame_units!E790,NA())</f>
        <v/>
      </c>
      <c r="V793">
        <f>IF(frame_units!E790&lt;&gt;"",frame_units!F790,NA())</f>
        <v/>
      </c>
    </row>
    <row r="794">
      <c r="U794">
        <f>IF(frame_units!E791&lt;&gt;"",frame_units!E791,NA())</f>
        <v/>
      </c>
      <c r="V794">
        <f>IF(frame_units!E791&lt;&gt;"",frame_units!F791,NA())</f>
        <v/>
      </c>
    </row>
    <row r="795">
      <c r="U795">
        <f>IF(frame_units!E792&lt;&gt;"",frame_units!E792,NA())</f>
        <v/>
      </c>
      <c r="V795">
        <f>IF(frame_units!E792&lt;&gt;"",frame_units!F792,NA())</f>
        <v/>
      </c>
    </row>
    <row r="796">
      <c r="U796">
        <f>IF(frame_units!E793&lt;&gt;"",frame_units!E793,NA())</f>
        <v/>
      </c>
      <c r="V796">
        <f>IF(frame_units!E793&lt;&gt;"",frame_units!F793,NA())</f>
        <v/>
      </c>
    </row>
    <row r="797">
      <c r="U797">
        <f>IF(frame_units!E794&lt;&gt;"",frame_units!E794,NA())</f>
        <v/>
      </c>
      <c r="V797">
        <f>IF(frame_units!E794&lt;&gt;"",frame_units!F794,NA())</f>
        <v/>
      </c>
    </row>
    <row r="798">
      <c r="U798">
        <f>IF(frame_units!E795&lt;&gt;"",frame_units!E795,NA())</f>
        <v/>
      </c>
      <c r="V798">
        <f>IF(frame_units!E795&lt;&gt;"",frame_units!F795,NA())</f>
        <v/>
      </c>
    </row>
    <row r="799">
      <c r="U799">
        <f>IF(frame_units!E796&lt;&gt;"",frame_units!E796,NA())</f>
        <v/>
      </c>
      <c r="V799">
        <f>IF(frame_units!E796&lt;&gt;"",frame_units!F796,NA())</f>
        <v/>
      </c>
    </row>
    <row r="800">
      <c r="U800">
        <f>IF(frame_units!E797&lt;&gt;"",frame_units!E797,NA())</f>
        <v/>
      </c>
      <c r="V800">
        <f>IF(frame_units!E797&lt;&gt;"",frame_units!F797,NA())</f>
        <v/>
      </c>
    </row>
    <row r="801">
      <c r="U801">
        <f>IF(frame_units!E798&lt;&gt;"",frame_units!E798,NA())</f>
        <v/>
      </c>
      <c r="V801">
        <f>IF(frame_units!E798&lt;&gt;"",frame_units!F798,NA())</f>
        <v/>
      </c>
    </row>
    <row r="802">
      <c r="U802">
        <f>IF(frame_units!E799&lt;&gt;"",frame_units!E799,NA())</f>
        <v/>
      </c>
      <c r="V802">
        <f>IF(frame_units!E799&lt;&gt;"",frame_units!F799,NA())</f>
        <v/>
      </c>
    </row>
    <row r="803">
      <c r="U803">
        <f>IF(frame_units!E800&lt;&gt;"",frame_units!E800,NA())</f>
        <v/>
      </c>
      <c r="V803">
        <f>IF(frame_units!E800&lt;&gt;"",frame_units!F800,NA())</f>
        <v/>
      </c>
    </row>
    <row r="804">
      <c r="U804">
        <f>IF(frame_units!E801&lt;&gt;"",frame_units!E801,NA())</f>
        <v/>
      </c>
      <c r="V804">
        <f>IF(frame_units!E801&lt;&gt;"",frame_units!F801,NA())</f>
        <v/>
      </c>
    </row>
    <row r="805">
      <c r="U805">
        <f>IF(frame_units!E802&lt;&gt;"",frame_units!E802,NA())</f>
        <v/>
      </c>
      <c r="V805">
        <f>IF(frame_units!E802&lt;&gt;"",frame_units!F802,NA())</f>
        <v/>
      </c>
    </row>
    <row r="806">
      <c r="U806">
        <f>IF(frame_units!E803&lt;&gt;"",frame_units!E803,NA())</f>
        <v/>
      </c>
      <c r="V806">
        <f>IF(frame_units!E803&lt;&gt;"",frame_units!F803,NA())</f>
        <v/>
      </c>
    </row>
    <row r="807">
      <c r="U807">
        <f>IF(frame_units!E804&lt;&gt;"",frame_units!E804,NA())</f>
        <v/>
      </c>
      <c r="V807">
        <f>IF(frame_units!E804&lt;&gt;"",frame_units!F804,NA())</f>
        <v/>
      </c>
    </row>
    <row r="808">
      <c r="U808">
        <f>IF(frame_units!E805&lt;&gt;"",frame_units!E805,NA())</f>
        <v/>
      </c>
      <c r="V808">
        <f>IF(frame_units!E805&lt;&gt;"",frame_units!F805,NA())</f>
        <v/>
      </c>
    </row>
    <row r="809">
      <c r="U809">
        <f>IF(frame_units!E806&lt;&gt;"",frame_units!E806,NA())</f>
        <v/>
      </c>
      <c r="V809">
        <f>IF(frame_units!E806&lt;&gt;"",frame_units!F806,NA())</f>
        <v/>
      </c>
    </row>
    <row r="810">
      <c r="U810">
        <f>IF(frame_units!E807&lt;&gt;"",frame_units!E807,NA())</f>
        <v/>
      </c>
      <c r="V810">
        <f>IF(frame_units!E807&lt;&gt;"",frame_units!F807,NA())</f>
        <v/>
      </c>
    </row>
    <row r="811">
      <c r="U811">
        <f>IF(frame_units!E808&lt;&gt;"",frame_units!E808,NA())</f>
        <v/>
      </c>
      <c r="V811">
        <f>IF(frame_units!E808&lt;&gt;"",frame_units!F808,NA())</f>
        <v/>
      </c>
    </row>
    <row r="812">
      <c r="U812">
        <f>IF(frame_units!E809&lt;&gt;"",frame_units!E809,NA())</f>
        <v/>
      </c>
      <c r="V812">
        <f>IF(frame_units!E809&lt;&gt;"",frame_units!F809,NA())</f>
        <v/>
      </c>
    </row>
    <row r="813">
      <c r="U813">
        <f>IF(frame_units!E810&lt;&gt;"",frame_units!E810,NA())</f>
        <v/>
      </c>
      <c r="V813">
        <f>IF(frame_units!E810&lt;&gt;"",frame_units!F810,NA())</f>
        <v/>
      </c>
    </row>
    <row r="814">
      <c r="U814">
        <f>IF(frame_units!E811&lt;&gt;"",frame_units!E811,NA())</f>
        <v/>
      </c>
      <c r="V814">
        <f>IF(frame_units!E811&lt;&gt;"",frame_units!F811,NA())</f>
        <v/>
      </c>
    </row>
    <row r="815">
      <c r="U815">
        <f>IF(frame_units!E812&lt;&gt;"",frame_units!E812,NA())</f>
        <v/>
      </c>
      <c r="V815">
        <f>IF(frame_units!E812&lt;&gt;"",frame_units!F812,NA())</f>
        <v/>
      </c>
    </row>
    <row r="816">
      <c r="U816">
        <f>IF(frame_units!E813&lt;&gt;"",frame_units!E813,NA())</f>
        <v/>
      </c>
      <c r="V816">
        <f>IF(frame_units!E813&lt;&gt;"",frame_units!F813,NA())</f>
        <v/>
      </c>
    </row>
    <row r="817">
      <c r="U817">
        <f>IF(frame_units!E814&lt;&gt;"",frame_units!E814,NA())</f>
        <v/>
      </c>
      <c r="V817">
        <f>IF(frame_units!E814&lt;&gt;"",frame_units!F814,NA())</f>
        <v/>
      </c>
    </row>
    <row r="818">
      <c r="U818">
        <f>IF(frame_units!E815&lt;&gt;"",frame_units!E815,NA())</f>
        <v/>
      </c>
      <c r="V818">
        <f>IF(frame_units!E815&lt;&gt;"",frame_units!F815,NA())</f>
        <v/>
      </c>
    </row>
    <row r="819">
      <c r="U819">
        <f>IF(frame_units!E816&lt;&gt;"",frame_units!E816,NA())</f>
        <v/>
      </c>
      <c r="V819">
        <f>IF(frame_units!E816&lt;&gt;"",frame_units!F816,NA())</f>
        <v/>
      </c>
    </row>
    <row r="820">
      <c r="U820">
        <f>IF(frame_units!E817&lt;&gt;"",frame_units!E817,NA())</f>
        <v/>
      </c>
      <c r="V820">
        <f>IF(frame_units!E817&lt;&gt;"",frame_units!F817,NA())</f>
        <v/>
      </c>
    </row>
    <row r="821">
      <c r="U821">
        <f>IF(frame_units!E818&lt;&gt;"",frame_units!E818,NA())</f>
        <v/>
      </c>
      <c r="V821">
        <f>IF(frame_units!E818&lt;&gt;"",frame_units!F818,NA())</f>
        <v/>
      </c>
    </row>
    <row r="822">
      <c r="U822">
        <f>IF(frame_units!E819&lt;&gt;"",frame_units!E819,NA())</f>
        <v/>
      </c>
      <c r="V822">
        <f>IF(frame_units!E819&lt;&gt;"",frame_units!F819,NA())</f>
        <v/>
      </c>
    </row>
    <row r="823">
      <c r="U823">
        <f>IF(frame_units!E820&lt;&gt;"",frame_units!E820,NA())</f>
        <v/>
      </c>
      <c r="V823">
        <f>IF(frame_units!E820&lt;&gt;"",frame_units!F820,NA())</f>
        <v/>
      </c>
    </row>
    <row r="824">
      <c r="U824">
        <f>IF(frame_units!E821&lt;&gt;"",frame_units!E821,NA())</f>
        <v/>
      </c>
      <c r="V824">
        <f>IF(frame_units!E821&lt;&gt;"",frame_units!F821,NA())</f>
        <v/>
      </c>
    </row>
    <row r="825">
      <c r="U825">
        <f>IF(frame_units!E822&lt;&gt;"",frame_units!E822,NA())</f>
        <v/>
      </c>
      <c r="V825">
        <f>IF(frame_units!E822&lt;&gt;"",frame_units!F822,NA())</f>
        <v/>
      </c>
    </row>
    <row r="826">
      <c r="U826">
        <f>IF(frame_units!E823&lt;&gt;"",frame_units!E823,NA())</f>
        <v/>
      </c>
      <c r="V826">
        <f>IF(frame_units!E823&lt;&gt;"",frame_units!F823,NA())</f>
        <v/>
      </c>
    </row>
    <row r="827">
      <c r="U827">
        <f>IF(frame_units!E824&lt;&gt;"",frame_units!E824,NA())</f>
        <v/>
      </c>
      <c r="V827">
        <f>IF(frame_units!E824&lt;&gt;"",frame_units!F824,NA())</f>
        <v/>
      </c>
    </row>
    <row r="828">
      <c r="U828">
        <f>IF(frame_units!E825&lt;&gt;"",frame_units!E825,NA())</f>
        <v/>
      </c>
      <c r="V828">
        <f>IF(frame_units!E825&lt;&gt;"",frame_units!F825,NA())</f>
        <v/>
      </c>
    </row>
    <row r="829">
      <c r="U829">
        <f>IF(frame_units!E826&lt;&gt;"",frame_units!E826,NA())</f>
        <v/>
      </c>
      <c r="V829">
        <f>IF(frame_units!E826&lt;&gt;"",frame_units!F826,NA())</f>
        <v/>
      </c>
    </row>
    <row r="830">
      <c r="U830">
        <f>IF(frame_units!E827&lt;&gt;"",frame_units!E827,NA())</f>
        <v/>
      </c>
      <c r="V830">
        <f>IF(frame_units!E827&lt;&gt;"",frame_units!F827,NA())</f>
        <v/>
      </c>
    </row>
    <row r="831">
      <c r="U831">
        <f>IF(frame_units!E828&lt;&gt;"",frame_units!E828,NA())</f>
        <v/>
      </c>
      <c r="V831">
        <f>IF(frame_units!E828&lt;&gt;"",frame_units!F828,NA())</f>
        <v/>
      </c>
    </row>
    <row r="832">
      <c r="U832">
        <f>IF(frame_units!E829&lt;&gt;"",frame_units!E829,NA())</f>
        <v/>
      </c>
      <c r="V832">
        <f>IF(frame_units!E829&lt;&gt;"",frame_units!F829,NA())</f>
        <v/>
      </c>
    </row>
    <row r="833">
      <c r="U833">
        <f>IF(frame_units!E830&lt;&gt;"",frame_units!E830,NA())</f>
        <v/>
      </c>
      <c r="V833">
        <f>IF(frame_units!E830&lt;&gt;"",frame_units!F830,NA())</f>
        <v/>
      </c>
    </row>
    <row r="834">
      <c r="U834">
        <f>IF(frame_units!E831&lt;&gt;"",frame_units!E831,NA())</f>
        <v/>
      </c>
      <c r="V834">
        <f>IF(frame_units!E831&lt;&gt;"",frame_units!F831,NA())</f>
        <v/>
      </c>
    </row>
    <row r="835">
      <c r="U835">
        <f>IF(frame_units!E832&lt;&gt;"",frame_units!E832,NA())</f>
        <v/>
      </c>
      <c r="V835">
        <f>IF(frame_units!E832&lt;&gt;"",frame_units!F832,NA())</f>
        <v/>
      </c>
    </row>
    <row r="836">
      <c r="U836">
        <f>IF(frame_units!E833&lt;&gt;"",frame_units!E833,NA())</f>
        <v/>
      </c>
      <c r="V836">
        <f>IF(frame_units!E833&lt;&gt;"",frame_units!F833,NA())</f>
        <v/>
      </c>
    </row>
    <row r="837">
      <c r="U837">
        <f>IF(frame_units!E834&lt;&gt;"",frame_units!E834,NA())</f>
        <v/>
      </c>
      <c r="V837">
        <f>IF(frame_units!E834&lt;&gt;"",frame_units!F834,NA())</f>
        <v/>
      </c>
    </row>
    <row r="838">
      <c r="U838">
        <f>IF(frame_units!E835&lt;&gt;"",frame_units!E835,NA())</f>
        <v/>
      </c>
      <c r="V838">
        <f>IF(frame_units!E835&lt;&gt;"",frame_units!F835,NA())</f>
        <v/>
      </c>
    </row>
    <row r="839">
      <c r="U839">
        <f>IF(frame_units!E836&lt;&gt;"",frame_units!E836,NA())</f>
        <v/>
      </c>
      <c r="V839">
        <f>IF(frame_units!E836&lt;&gt;"",frame_units!F836,NA())</f>
        <v/>
      </c>
    </row>
    <row r="840">
      <c r="U840">
        <f>IF(frame_units!E837&lt;&gt;"",frame_units!E837,NA())</f>
        <v/>
      </c>
      <c r="V840">
        <f>IF(frame_units!E837&lt;&gt;"",frame_units!F837,NA())</f>
        <v/>
      </c>
    </row>
    <row r="841">
      <c r="U841">
        <f>IF(frame_units!E838&lt;&gt;"",frame_units!E838,NA())</f>
        <v/>
      </c>
      <c r="V841">
        <f>IF(frame_units!E838&lt;&gt;"",frame_units!F838,NA())</f>
        <v/>
      </c>
    </row>
    <row r="842">
      <c r="U842">
        <f>IF(frame_units!E839&lt;&gt;"",frame_units!E839,NA())</f>
        <v/>
      </c>
      <c r="V842">
        <f>IF(frame_units!E839&lt;&gt;"",frame_units!F839,NA())</f>
        <v/>
      </c>
    </row>
    <row r="843">
      <c r="U843">
        <f>IF(frame_units!E840&lt;&gt;"",frame_units!E840,NA())</f>
        <v/>
      </c>
      <c r="V843">
        <f>IF(frame_units!E840&lt;&gt;"",frame_units!F840,NA())</f>
        <v/>
      </c>
    </row>
    <row r="844">
      <c r="U844">
        <f>IF(frame_units!E841&lt;&gt;"",frame_units!E841,NA())</f>
        <v/>
      </c>
      <c r="V844">
        <f>IF(frame_units!E841&lt;&gt;"",frame_units!F841,NA())</f>
        <v/>
      </c>
    </row>
    <row r="845">
      <c r="U845">
        <f>IF(frame_units!E842&lt;&gt;"",frame_units!E842,NA())</f>
        <v/>
      </c>
      <c r="V845">
        <f>IF(frame_units!E842&lt;&gt;"",frame_units!F842,NA())</f>
        <v/>
      </c>
    </row>
    <row r="846">
      <c r="U846">
        <f>IF(frame_units!E843&lt;&gt;"",frame_units!E843,NA())</f>
        <v/>
      </c>
      <c r="V846">
        <f>IF(frame_units!E843&lt;&gt;"",frame_units!F843,NA())</f>
        <v/>
      </c>
    </row>
    <row r="847">
      <c r="U847">
        <f>IF(frame_units!E844&lt;&gt;"",frame_units!E844,NA())</f>
        <v/>
      </c>
      <c r="V847">
        <f>IF(frame_units!E844&lt;&gt;"",frame_units!F844,NA())</f>
        <v/>
      </c>
    </row>
    <row r="848">
      <c r="U848">
        <f>IF(frame_units!E845&lt;&gt;"",frame_units!E845,NA())</f>
        <v/>
      </c>
      <c r="V848">
        <f>IF(frame_units!E845&lt;&gt;"",frame_units!F845,NA())</f>
        <v/>
      </c>
    </row>
    <row r="849">
      <c r="U849">
        <f>IF(frame_units!E846&lt;&gt;"",frame_units!E846,NA())</f>
        <v/>
      </c>
      <c r="V849">
        <f>IF(frame_units!E846&lt;&gt;"",frame_units!F846,NA())</f>
        <v/>
      </c>
    </row>
    <row r="850">
      <c r="U850">
        <f>IF(frame_units!E847&lt;&gt;"",frame_units!E847,NA())</f>
        <v/>
      </c>
      <c r="V850">
        <f>IF(frame_units!E847&lt;&gt;"",frame_units!F847,NA())</f>
        <v/>
      </c>
    </row>
    <row r="851">
      <c r="U851">
        <f>IF(frame_units!E848&lt;&gt;"",frame_units!E848,NA())</f>
        <v/>
      </c>
      <c r="V851">
        <f>IF(frame_units!E848&lt;&gt;"",frame_units!F848,NA())</f>
        <v/>
      </c>
    </row>
    <row r="852">
      <c r="U852">
        <f>IF(frame_units!E849&lt;&gt;"",frame_units!E849,NA())</f>
        <v/>
      </c>
      <c r="V852">
        <f>IF(frame_units!E849&lt;&gt;"",frame_units!F849,NA())</f>
        <v/>
      </c>
    </row>
    <row r="853">
      <c r="U853">
        <f>IF(frame_units!E850&lt;&gt;"",frame_units!E850,NA())</f>
        <v/>
      </c>
      <c r="V853">
        <f>IF(frame_units!E850&lt;&gt;"",frame_units!F850,NA())</f>
        <v/>
      </c>
    </row>
    <row r="854">
      <c r="U854">
        <f>IF(frame_units!E851&lt;&gt;"",frame_units!E851,NA())</f>
        <v/>
      </c>
      <c r="V854">
        <f>IF(frame_units!E851&lt;&gt;"",frame_units!F851,NA())</f>
        <v/>
      </c>
    </row>
    <row r="855">
      <c r="U855">
        <f>IF(frame_units!E852&lt;&gt;"",frame_units!E852,NA())</f>
        <v/>
      </c>
      <c r="V855">
        <f>IF(frame_units!E852&lt;&gt;"",frame_units!F852,NA())</f>
        <v/>
      </c>
    </row>
    <row r="856">
      <c r="U856">
        <f>IF(frame_units!E853&lt;&gt;"",frame_units!E853,NA())</f>
        <v/>
      </c>
      <c r="V856">
        <f>IF(frame_units!E853&lt;&gt;"",frame_units!F853,NA())</f>
        <v/>
      </c>
    </row>
    <row r="857">
      <c r="U857">
        <f>IF(frame_units!E854&lt;&gt;"",frame_units!E854,NA())</f>
        <v/>
      </c>
      <c r="V857">
        <f>IF(frame_units!E854&lt;&gt;"",frame_units!F854,NA())</f>
        <v/>
      </c>
    </row>
    <row r="858">
      <c r="U858">
        <f>IF(frame_units!E855&lt;&gt;"",frame_units!E855,NA())</f>
        <v/>
      </c>
      <c r="V858">
        <f>IF(frame_units!E855&lt;&gt;"",frame_units!F855,NA())</f>
        <v/>
      </c>
    </row>
    <row r="859">
      <c r="U859">
        <f>IF(frame_units!E856&lt;&gt;"",frame_units!E856,NA())</f>
        <v/>
      </c>
      <c r="V859">
        <f>IF(frame_units!E856&lt;&gt;"",frame_units!F856,NA())</f>
        <v/>
      </c>
    </row>
    <row r="860">
      <c r="U860">
        <f>IF(frame_units!E857&lt;&gt;"",frame_units!E857,NA())</f>
        <v/>
      </c>
      <c r="V860">
        <f>IF(frame_units!E857&lt;&gt;"",frame_units!F857,NA())</f>
        <v/>
      </c>
    </row>
    <row r="861">
      <c r="U861">
        <f>IF(frame_units!E858&lt;&gt;"",frame_units!E858,NA())</f>
        <v/>
      </c>
      <c r="V861">
        <f>IF(frame_units!E858&lt;&gt;"",frame_units!F858,NA())</f>
        <v/>
      </c>
    </row>
    <row r="862">
      <c r="U862">
        <f>IF(frame_units!E859&lt;&gt;"",frame_units!E859,NA())</f>
        <v/>
      </c>
      <c r="V862">
        <f>IF(frame_units!E859&lt;&gt;"",frame_units!F859,NA())</f>
        <v/>
      </c>
    </row>
    <row r="863">
      <c r="U863">
        <f>IF(frame_units!E860&lt;&gt;"",frame_units!E860,NA())</f>
        <v/>
      </c>
      <c r="V863">
        <f>IF(frame_units!E860&lt;&gt;"",frame_units!F860,NA())</f>
        <v/>
      </c>
    </row>
    <row r="864">
      <c r="U864">
        <f>IF(frame_units!E861&lt;&gt;"",frame_units!E861,NA())</f>
        <v/>
      </c>
      <c r="V864">
        <f>IF(frame_units!E861&lt;&gt;"",frame_units!F861,NA())</f>
        <v/>
      </c>
    </row>
    <row r="865">
      <c r="U865">
        <f>IF(frame_units!E862&lt;&gt;"",frame_units!E862,NA())</f>
        <v/>
      </c>
      <c r="V865">
        <f>IF(frame_units!E862&lt;&gt;"",frame_units!F862,NA())</f>
        <v/>
      </c>
    </row>
    <row r="866">
      <c r="U866">
        <f>IF(frame_units!E863&lt;&gt;"",frame_units!E863,NA())</f>
        <v/>
      </c>
      <c r="V866">
        <f>IF(frame_units!E863&lt;&gt;"",frame_units!F863,NA())</f>
        <v/>
      </c>
    </row>
    <row r="867">
      <c r="U867">
        <f>IF(frame_units!E864&lt;&gt;"",frame_units!E864,NA())</f>
        <v/>
      </c>
      <c r="V867">
        <f>IF(frame_units!E864&lt;&gt;"",frame_units!F864,NA())</f>
        <v/>
      </c>
    </row>
    <row r="868">
      <c r="U868">
        <f>IF(frame_units!E865&lt;&gt;"",frame_units!E865,NA())</f>
        <v/>
      </c>
      <c r="V868">
        <f>IF(frame_units!E865&lt;&gt;"",frame_units!F865,NA())</f>
        <v/>
      </c>
    </row>
    <row r="869">
      <c r="U869">
        <f>IF(frame_units!E866&lt;&gt;"",frame_units!E866,NA())</f>
        <v/>
      </c>
      <c r="V869">
        <f>IF(frame_units!E866&lt;&gt;"",frame_units!F866,NA())</f>
        <v/>
      </c>
    </row>
    <row r="870">
      <c r="U870">
        <f>IF(frame_units!E867&lt;&gt;"",frame_units!E867,NA())</f>
        <v/>
      </c>
      <c r="V870">
        <f>IF(frame_units!E867&lt;&gt;"",frame_units!F867,NA())</f>
        <v/>
      </c>
    </row>
    <row r="871">
      <c r="U871">
        <f>IF(frame_units!E868&lt;&gt;"",frame_units!E868,NA())</f>
        <v/>
      </c>
      <c r="V871">
        <f>IF(frame_units!E868&lt;&gt;"",frame_units!F868,NA())</f>
        <v/>
      </c>
    </row>
    <row r="872">
      <c r="U872">
        <f>IF(frame_units!E869&lt;&gt;"",frame_units!E869,NA())</f>
        <v/>
      </c>
      <c r="V872">
        <f>IF(frame_units!E869&lt;&gt;"",frame_units!F869,NA())</f>
        <v/>
      </c>
    </row>
    <row r="873">
      <c r="U873">
        <f>IF(frame_units!E870&lt;&gt;"",frame_units!E870,NA())</f>
        <v/>
      </c>
      <c r="V873">
        <f>IF(frame_units!E870&lt;&gt;"",frame_units!F870,NA())</f>
        <v/>
      </c>
    </row>
    <row r="874">
      <c r="U874">
        <f>IF(frame_units!E871&lt;&gt;"",frame_units!E871,NA())</f>
        <v/>
      </c>
      <c r="V874">
        <f>IF(frame_units!E871&lt;&gt;"",frame_units!F871,NA())</f>
        <v/>
      </c>
    </row>
    <row r="875">
      <c r="U875">
        <f>IF(frame_units!E872&lt;&gt;"",frame_units!E872,NA())</f>
        <v/>
      </c>
      <c r="V875">
        <f>IF(frame_units!E872&lt;&gt;"",frame_units!F872,NA())</f>
        <v/>
      </c>
    </row>
    <row r="876">
      <c r="U876">
        <f>IF(frame_units!E873&lt;&gt;"",frame_units!E873,NA())</f>
        <v/>
      </c>
      <c r="V876">
        <f>IF(frame_units!E873&lt;&gt;"",frame_units!F873,NA())</f>
        <v/>
      </c>
    </row>
    <row r="877">
      <c r="U877">
        <f>IF(frame_units!E874&lt;&gt;"",frame_units!E874,NA())</f>
        <v/>
      </c>
      <c r="V877">
        <f>IF(frame_units!E874&lt;&gt;"",frame_units!F874,NA())</f>
        <v/>
      </c>
    </row>
    <row r="878">
      <c r="U878">
        <f>IF(frame_units!E875&lt;&gt;"",frame_units!E875,NA())</f>
        <v/>
      </c>
      <c r="V878">
        <f>IF(frame_units!E875&lt;&gt;"",frame_units!F875,NA())</f>
        <v/>
      </c>
    </row>
    <row r="879">
      <c r="U879">
        <f>IF(frame_units!E876&lt;&gt;"",frame_units!E876,NA())</f>
        <v/>
      </c>
      <c r="V879">
        <f>IF(frame_units!E876&lt;&gt;"",frame_units!F876,NA())</f>
        <v/>
      </c>
    </row>
    <row r="880">
      <c r="U880">
        <f>IF(frame_units!E877&lt;&gt;"",frame_units!E877,NA())</f>
        <v/>
      </c>
      <c r="V880">
        <f>IF(frame_units!E877&lt;&gt;"",frame_units!F877,NA())</f>
        <v/>
      </c>
    </row>
    <row r="881">
      <c r="U881">
        <f>IF(frame_units!E878&lt;&gt;"",frame_units!E878,NA())</f>
        <v/>
      </c>
      <c r="V881">
        <f>IF(frame_units!E878&lt;&gt;"",frame_units!F878,NA())</f>
        <v/>
      </c>
    </row>
    <row r="882">
      <c r="U882">
        <f>IF(frame_units!E879&lt;&gt;"",frame_units!E879,NA())</f>
        <v/>
      </c>
      <c r="V882">
        <f>IF(frame_units!E879&lt;&gt;"",frame_units!F879,NA())</f>
        <v/>
      </c>
    </row>
    <row r="883">
      <c r="U883">
        <f>IF(frame_units!E880&lt;&gt;"",frame_units!E880,NA())</f>
        <v/>
      </c>
      <c r="V883">
        <f>IF(frame_units!E880&lt;&gt;"",frame_units!F880,NA())</f>
        <v/>
      </c>
    </row>
    <row r="884">
      <c r="U884">
        <f>IF(frame_units!E881&lt;&gt;"",frame_units!E881,NA())</f>
        <v/>
      </c>
      <c r="V884">
        <f>IF(frame_units!E881&lt;&gt;"",frame_units!F881,NA())</f>
        <v/>
      </c>
    </row>
    <row r="885">
      <c r="U885">
        <f>IF(frame_units!E882&lt;&gt;"",frame_units!E882,NA())</f>
        <v/>
      </c>
      <c r="V885">
        <f>IF(frame_units!E882&lt;&gt;"",frame_units!F882,NA())</f>
        <v/>
      </c>
    </row>
    <row r="886">
      <c r="U886">
        <f>IF(frame_units!E883&lt;&gt;"",frame_units!E883,NA())</f>
        <v/>
      </c>
      <c r="V886">
        <f>IF(frame_units!E883&lt;&gt;"",frame_units!F883,NA())</f>
        <v/>
      </c>
    </row>
    <row r="887">
      <c r="U887">
        <f>IF(frame_units!E884&lt;&gt;"",frame_units!E884,NA())</f>
        <v/>
      </c>
      <c r="V887">
        <f>IF(frame_units!E884&lt;&gt;"",frame_units!F884,NA())</f>
        <v/>
      </c>
    </row>
    <row r="888">
      <c r="U888">
        <f>IF(frame_units!E885&lt;&gt;"",frame_units!E885,NA())</f>
        <v/>
      </c>
      <c r="V888">
        <f>IF(frame_units!E885&lt;&gt;"",frame_units!F885,NA())</f>
        <v/>
      </c>
    </row>
    <row r="889">
      <c r="U889">
        <f>IF(frame_units!E886&lt;&gt;"",frame_units!E886,NA())</f>
        <v/>
      </c>
      <c r="V889">
        <f>IF(frame_units!E886&lt;&gt;"",frame_units!F886,NA())</f>
        <v/>
      </c>
    </row>
    <row r="890">
      <c r="U890">
        <f>IF(frame_units!E887&lt;&gt;"",frame_units!E887,NA())</f>
        <v/>
      </c>
      <c r="V890">
        <f>IF(frame_units!E887&lt;&gt;"",frame_units!F887,NA())</f>
        <v/>
      </c>
    </row>
    <row r="891">
      <c r="U891">
        <f>IF(frame_units!E888&lt;&gt;"",frame_units!E888,NA())</f>
        <v/>
      </c>
      <c r="V891">
        <f>IF(frame_units!E888&lt;&gt;"",frame_units!F888,NA())</f>
        <v/>
      </c>
    </row>
    <row r="892">
      <c r="U892">
        <f>IF(frame_units!E889&lt;&gt;"",frame_units!E889,NA())</f>
        <v/>
      </c>
      <c r="V892">
        <f>IF(frame_units!E889&lt;&gt;"",frame_units!F889,NA())</f>
        <v/>
      </c>
    </row>
    <row r="893">
      <c r="U893">
        <f>IF(frame_units!E890&lt;&gt;"",frame_units!E890,NA())</f>
        <v/>
      </c>
      <c r="V893">
        <f>IF(frame_units!E890&lt;&gt;"",frame_units!F890,NA())</f>
        <v/>
      </c>
    </row>
    <row r="894">
      <c r="U894">
        <f>IF(frame_units!E891&lt;&gt;"",frame_units!E891,NA())</f>
        <v/>
      </c>
      <c r="V894">
        <f>IF(frame_units!E891&lt;&gt;"",frame_units!F891,NA())</f>
        <v/>
      </c>
    </row>
    <row r="895">
      <c r="U895">
        <f>IF(frame_units!E892&lt;&gt;"",frame_units!E892,NA())</f>
        <v/>
      </c>
      <c r="V895">
        <f>IF(frame_units!E892&lt;&gt;"",frame_units!F892,NA())</f>
        <v/>
      </c>
    </row>
    <row r="896">
      <c r="U896">
        <f>IF(frame_units!E893&lt;&gt;"",frame_units!E893,NA())</f>
        <v/>
      </c>
      <c r="V896">
        <f>IF(frame_units!E893&lt;&gt;"",frame_units!F893,NA())</f>
        <v/>
      </c>
    </row>
    <row r="897">
      <c r="U897">
        <f>IF(frame_units!E894&lt;&gt;"",frame_units!E894,NA())</f>
        <v/>
      </c>
      <c r="V897">
        <f>IF(frame_units!E894&lt;&gt;"",frame_units!F894,NA())</f>
        <v/>
      </c>
    </row>
    <row r="898">
      <c r="U898">
        <f>IF(frame_units!E895&lt;&gt;"",frame_units!E895,NA())</f>
        <v/>
      </c>
      <c r="V898">
        <f>IF(frame_units!E895&lt;&gt;"",frame_units!F895,NA())</f>
        <v/>
      </c>
    </row>
    <row r="899">
      <c r="U899">
        <f>IF(frame_units!E896&lt;&gt;"",frame_units!E896,NA())</f>
        <v/>
      </c>
      <c r="V899">
        <f>IF(frame_units!E896&lt;&gt;"",frame_units!F896,NA())</f>
        <v/>
      </c>
    </row>
    <row r="900">
      <c r="U900">
        <f>IF(frame_units!E897&lt;&gt;"",frame_units!E897,NA())</f>
        <v/>
      </c>
      <c r="V900">
        <f>IF(frame_units!E897&lt;&gt;"",frame_units!F897,NA())</f>
        <v/>
      </c>
    </row>
    <row r="901">
      <c r="U901">
        <f>IF(frame_units!E898&lt;&gt;"",frame_units!E898,NA())</f>
        <v/>
      </c>
      <c r="V901">
        <f>IF(frame_units!E898&lt;&gt;"",frame_units!F898,NA())</f>
        <v/>
      </c>
    </row>
    <row r="902">
      <c r="U902">
        <f>IF(frame_units!E899&lt;&gt;"",frame_units!E899,NA())</f>
        <v/>
      </c>
      <c r="V902">
        <f>IF(frame_units!E899&lt;&gt;"",frame_units!F899,NA())</f>
        <v/>
      </c>
    </row>
    <row r="903">
      <c r="U903">
        <f>IF(frame_units!E900&lt;&gt;"",frame_units!E900,NA())</f>
        <v/>
      </c>
      <c r="V903">
        <f>IF(frame_units!E900&lt;&gt;"",frame_units!F900,NA())</f>
        <v/>
      </c>
    </row>
    <row r="904">
      <c r="U904">
        <f>IF(frame_units!E901&lt;&gt;"",frame_units!E901,NA())</f>
        <v/>
      </c>
      <c r="V904">
        <f>IF(frame_units!E901&lt;&gt;"",frame_units!F901,NA())</f>
        <v/>
      </c>
    </row>
    <row r="905">
      <c r="U905">
        <f>IF(frame_units!E902&lt;&gt;"",frame_units!E902,NA())</f>
        <v/>
      </c>
      <c r="V905">
        <f>IF(frame_units!E902&lt;&gt;"",frame_units!F902,NA())</f>
        <v/>
      </c>
    </row>
    <row r="906">
      <c r="U906">
        <f>IF(frame_units!E903&lt;&gt;"",frame_units!E903,NA())</f>
        <v/>
      </c>
      <c r="V906">
        <f>IF(frame_units!E903&lt;&gt;"",frame_units!F903,NA())</f>
        <v/>
      </c>
    </row>
    <row r="907">
      <c r="U907">
        <f>IF(frame_units!E904&lt;&gt;"",frame_units!E904,NA())</f>
        <v/>
      </c>
      <c r="V907">
        <f>IF(frame_units!E904&lt;&gt;"",frame_units!F904,NA())</f>
        <v/>
      </c>
    </row>
    <row r="908">
      <c r="U908">
        <f>IF(frame_units!E905&lt;&gt;"",frame_units!E905,NA())</f>
        <v/>
      </c>
      <c r="V908">
        <f>IF(frame_units!E905&lt;&gt;"",frame_units!F905,NA())</f>
        <v/>
      </c>
    </row>
    <row r="909">
      <c r="U909">
        <f>IF(frame_units!E906&lt;&gt;"",frame_units!E906,NA())</f>
        <v/>
      </c>
      <c r="V909">
        <f>IF(frame_units!E906&lt;&gt;"",frame_units!F906,NA())</f>
        <v/>
      </c>
    </row>
    <row r="910">
      <c r="U910">
        <f>IF(frame_units!E907&lt;&gt;"",frame_units!E907,NA())</f>
        <v/>
      </c>
      <c r="V910">
        <f>IF(frame_units!E907&lt;&gt;"",frame_units!F907,NA())</f>
        <v/>
      </c>
    </row>
    <row r="911">
      <c r="U911">
        <f>IF(frame_units!E908&lt;&gt;"",frame_units!E908,NA())</f>
        <v/>
      </c>
      <c r="V911">
        <f>IF(frame_units!E908&lt;&gt;"",frame_units!F908,NA())</f>
        <v/>
      </c>
    </row>
    <row r="912">
      <c r="U912">
        <f>IF(frame_units!E909&lt;&gt;"",frame_units!E909,NA())</f>
        <v/>
      </c>
      <c r="V912">
        <f>IF(frame_units!E909&lt;&gt;"",frame_units!F909,NA())</f>
        <v/>
      </c>
    </row>
    <row r="913">
      <c r="U913">
        <f>IF(frame_units!E910&lt;&gt;"",frame_units!E910,NA())</f>
        <v/>
      </c>
      <c r="V913">
        <f>IF(frame_units!E910&lt;&gt;"",frame_units!F910,NA())</f>
        <v/>
      </c>
    </row>
    <row r="914">
      <c r="U914">
        <f>IF(frame_units!E911&lt;&gt;"",frame_units!E911,NA())</f>
        <v/>
      </c>
      <c r="V914">
        <f>IF(frame_units!E911&lt;&gt;"",frame_units!F911,NA())</f>
        <v/>
      </c>
    </row>
    <row r="915">
      <c r="U915">
        <f>IF(frame_units!E912&lt;&gt;"",frame_units!E912,NA())</f>
        <v/>
      </c>
      <c r="V915">
        <f>IF(frame_units!E912&lt;&gt;"",frame_units!F912,NA())</f>
        <v/>
      </c>
    </row>
    <row r="916">
      <c r="U916">
        <f>IF(frame_units!E913&lt;&gt;"",frame_units!E913,NA())</f>
        <v/>
      </c>
      <c r="V916">
        <f>IF(frame_units!E913&lt;&gt;"",frame_units!F913,NA())</f>
        <v/>
      </c>
    </row>
    <row r="917">
      <c r="U917">
        <f>IF(frame_units!E914&lt;&gt;"",frame_units!E914,NA())</f>
        <v/>
      </c>
      <c r="V917">
        <f>IF(frame_units!E914&lt;&gt;"",frame_units!F914,NA())</f>
        <v/>
      </c>
    </row>
    <row r="918">
      <c r="U918">
        <f>IF(frame_units!E915&lt;&gt;"",frame_units!E915,NA())</f>
        <v/>
      </c>
      <c r="V918">
        <f>IF(frame_units!E915&lt;&gt;"",frame_units!F915,NA())</f>
        <v/>
      </c>
    </row>
    <row r="919">
      <c r="U919">
        <f>IF(frame_units!E916&lt;&gt;"",frame_units!E916,NA())</f>
        <v/>
      </c>
      <c r="V919">
        <f>IF(frame_units!E916&lt;&gt;"",frame_units!F916,NA())</f>
        <v/>
      </c>
    </row>
    <row r="920">
      <c r="U920">
        <f>IF(frame_units!E917&lt;&gt;"",frame_units!E917,NA())</f>
        <v/>
      </c>
      <c r="V920">
        <f>IF(frame_units!E917&lt;&gt;"",frame_units!F917,NA())</f>
        <v/>
      </c>
    </row>
    <row r="921">
      <c r="U921">
        <f>IF(frame_units!E918&lt;&gt;"",frame_units!E918,NA())</f>
        <v/>
      </c>
      <c r="V921">
        <f>IF(frame_units!E918&lt;&gt;"",frame_units!F918,NA())</f>
        <v/>
      </c>
    </row>
    <row r="922">
      <c r="U922">
        <f>IF(frame_units!E919&lt;&gt;"",frame_units!E919,NA())</f>
        <v/>
      </c>
      <c r="V922">
        <f>IF(frame_units!E919&lt;&gt;"",frame_units!F919,NA())</f>
        <v/>
      </c>
    </row>
    <row r="923">
      <c r="U923">
        <f>IF(frame_units!E920&lt;&gt;"",frame_units!E920,NA())</f>
        <v/>
      </c>
      <c r="V923">
        <f>IF(frame_units!E920&lt;&gt;"",frame_units!F920,NA())</f>
        <v/>
      </c>
    </row>
    <row r="924">
      <c r="U924">
        <f>IF(frame_units!E921&lt;&gt;"",frame_units!E921,NA())</f>
        <v/>
      </c>
      <c r="V924">
        <f>IF(frame_units!E921&lt;&gt;"",frame_units!F921,NA())</f>
        <v/>
      </c>
    </row>
    <row r="925">
      <c r="U925">
        <f>IF(frame_units!E922&lt;&gt;"",frame_units!E922,NA())</f>
        <v/>
      </c>
      <c r="V925">
        <f>IF(frame_units!E922&lt;&gt;"",frame_units!F922,NA())</f>
        <v/>
      </c>
    </row>
    <row r="926">
      <c r="U926">
        <f>IF(frame_units!E923&lt;&gt;"",frame_units!E923,NA())</f>
        <v/>
      </c>
      <c r="V926">
        <f>IF(frame_units!E923&lt;&gt;"",frame_units!F923,NA())</f>
        <v/>
      </c>
    </row>
    <row r="927">
      <c r="U927">
        <f>IF(frame_units!E924&lt;&gt;"",frame_units!E924,NA())</f>
        <v/>
      </c>
      <c r="V927">
        <f>IF(frame_units!E924&lt;&gt;"",frame_units!F924,NA())</f>
        <v/>
      </c>
    </row>
    <row r="928">
      <c r="U928">
        <f>IF(frame_units!E925&lt;&gt;"",frame_units!E925,NA())</f>
        <v/>
      </c>
      <c r="V928">
        <f>IF(frame_units!E925&lt;&gt;"",frame_units!F925,NA())</f>
        <v/>
      </c>
    </row>
    <row r="929">
      <c r="U929">
        <f>IF(frame_units!E926&lt;&gt;"",frame_units!E926,NA())</f>
        <v/>
      </c>
      <c r="V929">
        <f>IF(frame_units!E926&lt;&gt;"",frame_units!F926,NA())</f>
        <v/>
      </c>
    </row>
    <row r="930">
      <c r="U930">
        <f>IF(frame_units!E927&lt;&gt;"",frame_units!E927,NA())</f>
        <v/>
      </c>
      <c r="V930">
        <f>IF(frame_units!E927&lt;&gt;"",frame_units!F927,NA())</f>
        <v/>
      </c>
    </row>
    <row r="931">
      <c r="U931">
        <f>IF(frame_units!E928&lt;&gt;"",frame_units!E928,NA())</f>
        <v/>
      </c>
      <c r="V931">
        <f>IF(frame_units!E928&lt;&gt;"",frame_units!F928,NA())</f>
        <v/>
      </c>
    </row>
    <row r="932">
      <c r="U932">
        <f>IF(frame_units!E929&lt;&gt;"",frame_units!E929,NA())</f>
        <v/>
      </c>
      <c r="V932">
        <f>IF(frame_units!E929&lt;&gt;"",frame_units!F929,NA())</f>
        <v/>
      </c>
    </row>
    <row r="933">
      <c r="U933">
        <f>IF(frame_units!E930&lt;&gt;"",frame_units!E930,NA())</f>
        <v/>
      </c>
      <c r="V933">
        <f>IF(frame_units!E930&lt;&gt;"",frame_units!F930,NA())</f>
        <v/>
      </c>
    </row>
    <row r="934">
      <c r="U934">
        <f>IF(frame_units!E931&lt;&gt;"",frame_units!E931,NA())</f>
        <v/>
      </c>
      <c r="V934">
        <f>IF(frame_units!E931&lt;&gt;"",frame_units!F931,NA())</f>
        <v/>
      </c>
    </row>
    <row r="935">
      <c r="U935">
        <f>IF(frame_units!E932&lt;&gt;"",frame_units!E932,NA())</f>
        <v/>
      </c>
      <c r="V935">
        <f>IF(frame_units!E932&lt;&gt;"",frame_units!F932,NA())</f>
        <v/>
      </c>
    </row>
    <row r="936">
      <c r="U936">
        <f>IF(frame_units!E933&lt;&gt;"",frame_units!E933,NA())</f>
        <v/>
      </c>
      <c r="V936">
        <f>IF(frame_units!E933&lt;&gt;"",frame_units!F933,NA())</f>
        <v/>
      </c>
    </row>
    <row r="937">
      <c r="U937">
        <f>IF(frame_units!E934&lt;&gt;"",frame_units!E934,NA())</f>
        <v/>
      </c>
      <c r="V937">
        <f>IF(frame_units!E934&lt;&gt;"",frame_units!F934,NA())</f>
        <v/>
      </c>
    </row>
    <row r="938">
      <c r="U938">
        <f>IF(frame_units!E935&lt;&gt;"",frame_units!E935,NA())</f>
        <v/>
      </c>
      <c r="V938">
        <f>IF(frame_units!E935&lt;&gt;"",frame_units!F935,NA())</f>
        <v/>
      </c>
    </row>
    <row r="939">
      <c r="U939">
        <f>IF(frame_units!E936&lt;&gt;"",frame_units!E936,NA())</f>
        <v/>
      </c>
      <c r="V939">
        <f>IF(frame_units!E936&lt;&gt;"",frame_units!F936,NA())</f>
        <v/>
      </c>
    </row>
    <row r="940">
      <c r="U940">
        <f>IF(frame_units!E937&lt;&gt;"",frame_units!E937,NA())</f>
        <v/>
      </c>
      <c r="V940">
        <f>IF(frame_units!E937&lt;&gt;"",frame_units!F937,NA())</f>
        <v/>
      </c>
    </row>
    <row r="941">
      <c r="U941">
        <f>IF(frame_units!E938&lt;&gt;"",frame_units!E938,NA())</f>
        <v/>
      </c>
      <c r="V941">
        <f>IF(frame_units!E938&lt;&gt;"",frame_units!F938,NA())</f>
        <v/>
      </c>
    </row>
    <row r="942">
      <c r="U942">
        <f>IF(frame_units!E939&lt;&gt;"",frame_units!E939,NA())</f>
        <v/>
      </c>
      <c r="V942">
        <f>IF(frame_units!E939&lt;&gt;"",frame_units!F939,NA())</f>
        <v/>
      </c>
    </row>
    <row r="943">
      <c r="U943">
        <f>IF(frame_units!E940&lt;&gt;"",frame_units!E940,NA())</f>
        <v/>
      </c>
      <c r="V943">
        <f>IF(frame_units!E940&lt;&gt;"",frame_units!F940,NA())</f>
        <v/>
      </c>
    </row>
    <row r="944">
      <c r="U944">
        <f>IF(frame_units!E941&lt;&gt;"",frame_units!E941,NA())</f>
        <v/>
      </c>
      <c r="V944">
        <f>IF(frame_units!E941&lt;&gt;"",frame_units!F941,NA())</f>
        <v/>
      </c>
    </row>
    <row r="945">
      <c r="U945">
        <f>IF(frame_units!E942&lt;&gt;"",frame_units!E942,NA())</f>
        <v/>
      </c>
      <c r="V945">
        <f>IF(frame_units!E942&lt;&gt;"",frame_units!F942,NA())</f>
        <v/>
      </c>
    </row>
    <row r="946">
      <c r="U946">
        <f>IF(frame_units!E943&lt;&gt;"",frame_units!E943,NA())</f>
        <v/>
      </c>
      <c r="V946">
        <f>IF(frame_units!E943&lt;&gt;"",frame_units!F943,NA())</f>
        <v/>
      </c>
    </row>
    <row r="947">
      <c r="U947">
        <f>IF(frame_units!E944&lt;&gt;"",frame_units!E944,NA())</f>
        <v/>
      </c>
      <c r="V947">
        <f>IF(frame_units!E944&lt;&gt;"",frame_units!F944,NA())</f>
        <v/>
      </c>
    </row>
    <row r="948">
      <c r="U948">
        <f>IF(frame_units!E945&lt;&gt;"",frame_units!E945,NA())</f>
        <v/>
      </c>
      <c r="V948">
        <f>IF(frame_units!E945&lt;&gt;"",frame_units!F945,NA())</f>
        <v/>
      </c>
    </row>
    <row r="949">
      <c r="U949">
        <f>IF(frame_units!E946&lt;&gt;"",frame_units!E946,NA())</f>
        <v/>
      </c>
      <c r="V949">
        <f>IF(frame_units!E946&lt;&gt;"",frame_units!F946,NA())</f>
        <v/>
      </c>
    </row>
    <row r="950">
      <c r="U950">
        <f>IF(frame_units!E947&lt;&gt;"",frame_units!E947,NA())</f>
        <v/>
      </c>
      <c r="V950">
        <f>IF(frame_units!E947&lt;&gt;"",frame_units!F947,NA())</f>
        <v/>
      </c>
    </row>
    <row r="951">
      <c r="U951">
        <f>IF(frame_units!E948&lt;&gt;"",frame_units!E948,NA())</f>
        <v/>
      </c>
      <c r="V951">
        <f>IF(frame_units!E948&lt;&gt;"",frame_units!F948,NA())</f>
        <v/>
      </c>
    </row>
    <row r="952">
      <c r="U952">
        <f>IF(frame_units!E949&lt;&gt;"",frame_units!E949,NA())</f>
        <v/>
      </c>
      <c r="V952">
        <f>IF(frame_units!E949&lt;&gt;"",frame_units!F949,NA())</f>
        <v/>
      </c>
    </row>
    <row r="953">
      <c r="U953">
        <f>IF(frame_units!E950&lt;&gt;"",frame_units!E950,NA())</f>
        <v/>
      </c>
      <c r="V953">
        <f>IF(frame_units!E950&lt;&gt;"",frame_units!F950,NA())</f>
        <v/>
      </c>
    </row>
    <row r="954">
      <c r="U954">
        <f>IF(frame_units!E951&lt;&gt;"",frame_units!E951,NA())</f>
        <v/>
      </c>
      <c r="V954">
        <f>IF(frame_units!E951&lt;&gt;"",frame_units!F951,NA())</f>
        <v/>
      </c>
    </row>
    <row r="955">
      <c r="U955">
        <f>IF(frame_units!E952&lt;&gt;"",frame_units!E952,NA())</f>
        <v/>
      </c>
      <c r="V955">
        <f>IF(frame_units!E952&lt;&gt;"",frame_units!F952,NA())</f>
        <v/>
      </c>
    </row>
    <row r="956">
      <c r="U956">
        <f>IF(frame_units!E953&lt;&gt;"",frame_units!E953,NA())</f>
        <v/>
      </c>
      <c r="V956">
        <f>IF(frame_units!E953&lt;&gt;"",frame_units!F953,NA())</f>
        <v/>
      </c>
    </row>
    <row r="957">
      <c r="U957">
        <f>IF(frame_units!E954&lt;&gt;"",frame_units!E954,NA())</f>
        <v/>
      </c>
      <c r="V957">
        <f>IF(frame_units!E954&lt;&gt;"",frame_units!F954,NA())</f>
        <v/>
      </c>
    </row>
    <row r="958">
      <c r="U958">
        <f>IF(frame_units!E955&lt;&gt;"",frame_units!E955,NA())</f>
        <v/>
      </c>
      <c r="V958">
        <f>IF(frame_units!E955&lt;&gt;"",frame_units!F955,NA())</f>
        <v/>
      </c>
    </row>
    <row r="959">
      <c r="U959">
        <f>IF(frame_units!E956&lt;&gt;"",frame_units!E956,NA())</f>
        <v/>
      </c>
      <c r="V959">
        <f>IF(frame_units!E956&lt;&gt;"",frame_units!F956,NA())</f>
        <v/>
      </c>
    </row>
    <row r="960">
      <c r="U960">
        <f>IF(frame_units!E957&lt;&gt;"",frame_units!E957,NA())</f>
        <v/>
      </c>
      <c r="V960">
        <f>IF(frame_units!E957&lt;&gt;"",frame_units!F957,NA())</f>
        <v/>
      </c>
    </row>
    <row r="961">
      <c r="U961">
        <f>IF(frame_units!E958&lt;&gt;"",frame_units!E958,NA())</f>
        <v/>
      </c>
      <c r="V961">
        <f>IF(frame_units!E958&lt;&gt;"",frame_units!F958,NA())</f>
        <v/>
      </c>
    </row>
    <row r="962">
      <c r="U962">
        <f>IF(frame_units!E959&lt;&gt;"",frame_units!E959,NA())</f>
        <v/>
      </c>
      <c r="V962">
        <f>IF(frame_units!E959&lt;&gt;"",frame_units!F959,NA())</f>
        <v/>
      </c>
    </row>
    <row r="963">
      <c r="U963">
        <f>IF(frame_units!E960&lt;&gt;"",frame_units!E960,NA())</f>
        <v/>
      </c>
      <c r="V963">
        <f>IF(frame_units!E960&lt;&gt;"",frame_units!F960,NA())</f>
        <v/>
      </c>
    </row>
    <row r="964">
      <c r="U964">
        <f>IF(frame_units!E961&lt;&gt;"",frame_units!E961,NA())</f>
        <v/>
      </c>
      <c r="V964">
        <f>IF(frame_units!E961&lt;&gt;"",frame_units!F961,NA())</f>
        <v/>
      </c>
    </row>
    <row r="965">
      <c r="U965">
        <f>IF(frame_units!E962&lt;&gt;"",frame_units!E962,NA())</f>
        <v/>
      </c>
      <c r="V965">
        <f>IF(frame_units!E962&lt;&gt;"",frame_units!F962,NA())</f>
        <v/>
      </c>
    </row>
    <row r="966">
      <c r="U966">
        <f>IF(frame_units!E963&lt;&gt;"",frame_units!E963,NA())</f>
        <v/>
      </c>
      <c r="V966">
        <f>IF(frame_units!E963&lt;&gt;"",frame_units!F963,NA())</f>
        <v/>
      </c>
    </row>
    <row r="967">
      <c r="U967">
        <f>IF(frame_units!E964&lt;&gt;"",frame_units!E964,NA())</f>
        <v/>
      </c>
      <c r="V967">
        <f>IF(frame_units!E964&lt;&gt;"",frame_units!F964,NA())</f>
        <v/>
      </c>
    </row>
    <row r="968">
      <c r="U968">
        <f>IF(frame_units!E965&lt;&gt;"",frame_units!E965,NA())</f>
        <v/>
      </c>
      <c r="V968">
        <f>IF(frame_units!E965&lt;&gt;"",frame_units!F965,NA())</f>
        <v/>
      </c>
    </row>
    <row r="969">
      <c r="U969">
        <f>IF(frame_units!E966&lt;&gt;"",frame_units!E966,NA())</f>
        <v/>
      </c>
      <c r="V969">
        <f>IF(frame_units!E966&lt;&gt;"",frame_units!F966,NA())</f>
        <v/>
      </c>
    </row>
    <row r="970">
      <c r="U970">
        <f>IF(frame_units!E967&lt;&gt;"",frame_units!E967,NA())</f>
        <v/>
      </c>
      <c r="V970">
        <f>IF(frame_units!E967&lt;&gt;"",frame_units!F967,NA())</f>
        <v/>
      </c>
    </row>
    <row r="971">
      <c r="U971">
        <f>IF(frame_units!E968&lt;&gt;"",frame_units!E968,NA())</f>
        <v/>
      </c>
      <c r="V971">
        <f>IF(frame_units!E968&lt;&gt;"",frame_units!F968,NA())</f>
        <v/>
      </c>
    </row>
    <row r="972">
      <c r="U972">
        <f>IF(frame_units!E969&lt;&gt;"",frame_units!E969,NA())</f>
        <v/>
      </c>
      <c r="V972">
        <f>IF(frame_units!E969&lt;&gt;"",frame_units!F969,NA())</f>
        <v/>
      </c>
    </row>
    <row r="973">
      <c r="U973">
        <f>IF(frame_units!E970&lt;&gt;"",frame_units!E970,NA())</f>
        <v/>
      </c>
      <c r="V973">
        <f>IF(frame_units!E970&lt;&gt;"",frame_units!F970,NA())</f>
        <v/>
      </c>
    </row>
    <row r="974">
      <c r="U974">
        <f>IF(frame_units!E971&lt;&gt;"",frame_units!E971,NA())</f>
        <v/>
      </c>
      <c r="V974">
        <f>IF(frame_units!E971&lt;&gt;"",frame_units!F971,NA())</f>
        <v/>
      </c>
    </row>
    <row r="975">
      <c r="U975">
        <f>IF(frame_units!E972&lt;&gt;"",frame_units!E972,NA())</f>
        <v/>
      </c>
      <c r="V975">
        <f>IF(frame_units!E972&lt;&gt;"",frame_units!F972,NA())</f>
        <v/>
      </c>
    </row>
    <row r="976">
      <c r="U976">
        <f>IF(frame_units!E973&lt;&gt;"",frame_units!E973,NA())</f>
        <v/>
      </c>
      <c r="V976">
        <f>IF(frame_units!E973&lt;&gt;"",frame_units!F973,NA())</f>
        <v/>
      </c>
    </row>
    <row r="977">
      <c r="U977">
        <f>IF(frame_units!E974&lt;&gt;"",frame_units!E974,NA())</f>
        <v/>
      </c>
      <c r="V977">
        <f>IF(frame_units!E974&lt;&gt;"",frame_units!F974,NA())</f>
        <v/>
      </c>
    </row>
    <row r="978">
      <c r="U978">
        <f>IF(frame_units!E975&lt;&gt;"",frame_units!E975,NA())</f>
        <v/>
      </c>
      <c r="V978">
        <f>IF(frame_units!E975&lt;&gt;"",frame_units!F975,NA())</f>
        <v/>
      </c>
    </row>
    <row r="979">
      <c r="U979">
        <f>IF(frame_units!E976&lt;&gt;"",frame_units!E976,NA())</f>
        <v/>
      </c>
      <c r="V979">
        <f>IF(frame_units!E976&lt;&gt;"",frame_units!F976,NA())</f>
        <v/>
      </c>
    </row>
    <row r="980">
      <c r="U980">
        <f>IF(frame_units!E977&lt;&gt;"",frame_units!E977,NA())</f>
        <v/>
      </c>
      <c r="V980">
        <f>IF(frame_units!E977&lt;&gt;"",frame_units!F977,NA())</f>
        <v/>
      </c>
    </row>
    <row r="981">
      <c r="U981">
        <f>IF(frame_units!E978&lt;&gt;"",frame_units!E978,NA())</f>
        <v/>
      </c>
      <c r="V981">
        <f>IF(frame_units!E978&lt;&gt;"",frame_units!F978,NA())</f>
        <v/>
      </c>
    </row>
    <row r="982">
      <c r="U982">
        <f>IF(frame_units!E979&lt;&gt;"",frame_units!E979,NA())</f>
        <v/>
      </c>
      <c r="V982">
        <f>IF(frame_units!E979&lt;&gt;"",frame_units!F979,NA())</f>
        <v/>
      </c>
    </row>
    <row r="983">
      <c r="U983">
        <f>IF(frame_units!E980&lt;&gt;"",frame_units!E980,NA())</f>
        <v/>
      </c>
      <c r="V983">
        <f>IF(frame_units!E980&lt;&gt;"",frame_units!F980,NA())</f>
        <v/>
      </c>
    </row>
    <row r="984">
      <c r="U984">
        <f>IF(frame_units!E981&lt;&gt;"",frame_units!E981,NA())</f>
        <v/>
      </c>
      <c r="V984">
        <f>IF(frame_units!E981&lt;&gt;"",frame_units!F981,NA())</f>
        <v/>
      </c>
    </row>
    <row r="985">
      <c r="U985">
        <f>IF(frame_units!E982&lt;&gt;"",frame_units!E982,NA())</f>
        <v/>
      </c>
      <c r="V985">
        <f>IF(frame_units!E982&lt;&gt;"",frame_units!F982,NA())</f>
        <v/>
      </c>
    </row>
    <row r="986">
      <c r="U986">
        <f>IF(frame_units!E983&lt;&gt;"",frame_units!E983,NA())</f>
        <v/>
      </c>
      <c r="V986">
        <f>IF(frame_units!E983&lt;&gt;"",frame_units!F983,NA())</f>
        <v/>
      </c>
    </row>
    <row r="987">
      <c r="U987">
        <f>IF(frame_units!E984&lt;&gt;"",frame_units!E984,NA())</f>
        <v/>
      </c>
      <c r="V987">
        <f>IF(frame_units!E984&lt;&gt;"",frame_units!F984,NA())</f>
        <v/>
      </c>
    </row>
    <row r="988">
      <c r="U988">
        <f>IF(frame_units!E985&lt;&gt;"",frame_units!E985,NA())</f>
        <v/>
      </c>
      <c r="V988">
        <f>IF(frame_units!E985&lt;&gt;"",frame_units!F985,NA())</f>
        <v/>
      </c>
    </row>
    <row r="989">
      <c r="U989">
        <f>IF(frame_units!E986&lt;&gt;"",frame_units!E986,NA())</f>
        <v/>
      </c>
      <c r="V989">
        <f>IF(frame_units!E986&lt;&gt;"",frame_units!F986,NA())</f>
        <v/>
      </c>
    </row>
    <row r="990">
      <c r="U990">
        <f>IF(frame_units!E987&lt;&gt;"",frame_units!E987,NA())</f>
        <v/>
      </c>
      <c r="V990">
        <f>IF(frame_units!E987&lt;&gt;"",frame_units!F987,NA())</f>
        <v/>
      </c>
    </row>
    <row r="991">
      <c r="U991">
        <f>IF(frame_units!E988&lt;&gt;"",frame_units!E988,NA())</f>
        <v/>
      </c>
      <c r="V991">
        <f>IF(frame_units!E988&lt;&gt;"",frame_units!F988,NA())</f>
        <v/>
      </c>
    </row>
    <row r="992">
      <c r="U992">
        <f>IF(frame_units!E989&lt;&gt;"",frame_units!E989,NA())</f>
        <v/>
      </c>
      <c r="V992">
        <f>IF(frame_units!E989&lt;&gt;"",frame_units!F989,NA())</f>
        <v/>
      </c>
    </row>
    <row r="993">
      <c r="U993">
        <f>IF(frame_units!E990&lt;&gt;"",frame_units!E990,NA())</f>
        <v/>
      </c>
      <c r="V993">
        <f>IF(frame_units!E990&lt;&gt;"",frame_units!F990,NA())</f>
        <v/>
      </c>
    </row>
    <row r="994">
      <c r="U994">
        <f>IF(frame_units!E991&lt;&gt;"",frame_units!E991,NA())</f>
        <v/>
      </c>
      <c r="V994">
        <f>IF(frame_units!E991&lt;&gt;"",frame_units!F991,NA())</f>
        <v/>
      </c>
    </row>
    <row r="995">
      <c r="U995">
        <f>IF(frame_units!E992&lt;&gt;"",frame_units!E992,NA())</f>
        <v/>
      </c>
      <c r="V995">
        <f>IF(frame_units!E992&lt;&gt;"",frame_units!F992,NA())</f>
        <v/>
      </c>
    </row>
    <row r="996">
      <c r="U996">
        <f>IF(frame_units!E993&lt;&gt;"",frame_units!E993,NA())</f>
        <v/>
      </c>
      <c r="V996">
        <f>IF(frame_units!E993&lt;&gt;"",frame_units!F993,NA())</f>
        <v/>
      </c>
    </row>
    <row r="997">
      <c r="U997">
        <f>IF(frame_units!E994&lt;&gt;"",frame_units!E994,NA())</f>
        <v/>
      </c>
      <c r="V997">
        <f>IF(frame_units!E994&lt;&gt;"",frame_units!F994,NA())</f>
        <v/>
      </c>
    </row>
    <row r="998">
      <c r="U998">
        <f>IF(frame_units!E995&lt;&gt;"",frame_units!E995,NA())</f>
        <v/>
      </c>
      <c r="V998">
        <f>IF(frame_units!E995&lt;&gt;"",frame_units!F995,NA())</f>
        <v/>
      </c>
    </row>
    <row r="999">
      <c r="U999">
        <f>IF(frame_units!E996&lt;&gt;"",frame_units!E996,NA())</f>
        <v/>
      </c>
      <c r="V999">
        <f>IF(frame_units!E996&lt;&gt;"",frame_units!F996,NA())</f>
        <v/>
      </c>
    </row>
    <row r="1000">
      <c r="U1000">
        <f>IF(frame_units!E997&lt;&gt;"",frame_units!E997,NA())</f>
        <v/>
      </c>
      <c r="V1000">
        <f>IF(frame_units!E997&lt;&gt;"",frame_units!F997,NA())</f>
        <v/>
      </c>
    </row>
    <row r="1001">
      <c r="U1001">
        <f>IF(frame_units!E998&lt;&gt;"",frame_units!E998,NA())</f>
        <v/>
      </c>
      <c r="V1001">
        <f>IF(frame_units!E998&lt;&gt;"",frame_units!F998,NA())</f>
        <v/>
      </c>
    </row>
    <row r="1002">
      <c r="U1002">
        <f>IF(frame_units!E999&lt;&gt;"",frame_units!E999,NA())</f>
        <v/>
      </c>
      <c r="V1002">
        <f>IF(frame_units!E999&lt;&gt;"",frame_units!F999,NA())</f>
        <v/>
      </c>
    </row>
    <row r="1003">
      <c r="U1003">
        <f>IF(frame_units!E1000&lt;&gt;"",frame_units!E1000,NA())</f>
        <v/>
      </c>
      <c r="V1003">
        <f>IF(frame_units!E1000&lt;&gt;"",frame_units!F1000,NA())</f>
        <v/>
      </c>
    </row>
    <row r="1004">
      <c r="U1004">
        <f>IF(frame_units!E1001&lt;&gt;"",frame_units!E1001,NA())</f>
        <v/>
      </c>
      <c r="V1004">
        <f>IF(frame_units!E1001&lt;&gt;"",frame_units!F1001,NA())</f>
        <v/>
      </c>
    </row>
    <row r="1005">
      <c r="U1005">
        <f>IF(frame_units!E1002&lt;&gt;"",frame_units!E1002,NA())</f>
        <v/>
      </c>
      <c r="V1005">
        <f>IF(frame_units!E1002&lt;&gt;"",frame_units!F1002,NA())</f>
        <v/>
      </c>
    </row>
    <row r="1006">
      <c r="U1006">
        <f>IF(frame_units!E1003&lt;&gt;"",frame_units!E1003,NA())</f>
        <v/>
      </c>
      <c r="V1006">
        <f>IF(frame_units!E1003&lt;&gt;"",frame_units!F1003,NA())</f>
        <v/>
      </c>
    </row>
    <row r="1007">
      <c r="U1007">
        <f>IF(frame_units!E1004&lt;&gt;"",frame_units!E1004,NA())</f>
        <v/>
      </c>
      <c r="V1007">
        <f>IF(frame_units!E1004&lt;&gt;"",frame_units!F1004,NA())</f>
        <v/>
      </c>
    </row>
    <row r="1008">
      <c r="U1008">
        <f>IF(frame_units!E1005&lt;&gt;"",frame_units!E1005,NA())</f>
        <v/>
      </c>
      <c r="V1008">
        <f>IF(frame_units!E1005&lt;&gt;"",frame_units!F1005,NA())</f>
        <v/>
      </c>
    </row>
    <row r="1009">
      <c r="U1009">
        <f>IF(frame_units!E1006&lt;&gt;"",frame_units!E1006,NA())</f>
        <v/>
      </c>
      <c r="V1009">
        <f>IF(frame_units!E1006&lt;&gt;"",frame_units!F1006,NA())</f>
        <v/>
      </c>
    </row>
    <row r="1010">
      <c r="U1010">
        <f>IF(frame_units!E1007&lt;&gt;"",frame_units!E1007,NA())</f>
        <v/>
      </c>
      <c r="V1010">
        <f>IF(frame_units!E1007&lt;&gt;"",frame_units!F1007,NA())</f>
        <v/>
      </c>
    </row>
    <row r="1011">
      <c r="U1011">
        <f>IF(frame_units!E1008&lt;&gt;"",frame_units!E1008,NA())</f>
        <v/>
      </c>
      <c r="V1011">
        <f>IF(frame_units!E1008&lt;&gt;"",frame_units!F1008,NA())</f>
        <v/>
      </c>
    </row>
    <row r="1012">
      <c r="U1012">
        <f>IF(frame_units!E1009&lt;&gt;"",frame_units!E1009,NA())</f>
        <v/>
      </c>
      <c r="V1012">
        <f>IF(frame_units!E1009&lt;&gt;"",frame_units!F1009,NA())</f>
        <v/>
      </c>
    </row>
    <row r="1013">
      <c r="U1013">
        <f>IF(frame_units!E1010&lt;&gt;"",frame_units!E1010,NA())</f>
        <v/>
      </c>
      <c r="V1013">
        <f>IF(frame_units!E1010&lt;&gt;"",frame_units!F1010,NA())</f>
        <v/>
      </c>
    </row>
    <row r="1014">
      <c r="U1014">
        <f>IF(frame_units!E1011&lt;&gt;"",frame_units!E1011,NA())</f>
        <v/>
      </c>
      <c r="V1014">
        <f>IF(frame_units!E1011&lt;&gt;"",frame_units!F1011,NA())</f>
        <v/>
      </c>
    </row>
    <row r="1015">
      <c r="U1015">
        <f>IF(frame_units!E1012&lt;&gt;"",frame_units!E1012,NA())</f>
        <v/>
      </c>
      <c r="V1015">
        <f>IF(frame_units!E1012&lt;&gt;"",frame_units!F1012,NA())</f>
        <v/>
      </c>
    </row>
    <row r="1016">
      <c r="U1016">
        <f>IF(frame_units!E1013&lt;&gt;"",frame_units!E1013,NA())</f>
        <v/>
      </c>
      <c r="V1016">
        <f>IF(frame_units!E1013&lt;&gt;"",frame_units!F1013,NA())</f>
        <v/>
      </c>
    </row>
    <row r="1017">
      <c r="U1017">
        <f>IF(frame_units!E1014&lt;&gt;"",frame_units!E1014,NA())</f>
        <v/>
      </c>
      <c r="V1017">
        <f>IF(frame_units!E1014&lt;&gt;"",frame_units!F1014,NA())</f>
        <v/>
      </c>
    </row>
    <row r="1018">
      <c r="U1018">
        <f>IF(frame_units!E1015&lt;&gt;"",frame_units!E1015,NA())</f>
        <v/>
      </c>
      <c r="V1018">
        <f>IF(frame_units!E1015&lt;&gt;"",frame_units!F1015,NA())</f>
        <v/>
      </c>
    </row>
    <row r="1019">
      <c r="U1019">
        <f>IF(frame_units!E1016&lt;&gt;"",frame_units!E1016,NA())</f>
        <v/>
      </c>
      <c r="V1019">
        <f>IF(frame_units!E1016&lt;&gt;"",frame_units!F1016,NA())</f>
        <v/>
      </c>
    </row>
    <row r="1020">
      <c r="U1020">
        <f>IF(frame_units!E1017&lt;&gt;"",frame_units!E1017,NA())</f>
        <v/>
      </c>
      <c r="V1020">
        <f>IF(frame_units!E1017&lt;&gt;"",frame_units!F1017,NA())</f>
        <v/>
      </c>
    </row>
    <row r="1021">
      <c r="U1021">
        <f>IF(frame_units!E1018&lt;&gt;"",frame_units!E1018,NA())</f>
        <v/>
      </c>
      <c r="V1021">
        <f>IF(frame_units!E1018&lt;&gt;"",frame_units!F1018,NA())</f>
        <v/>
      </c>
    </row>
    <row r="1022">
      <c r="U1022">
        <f>IF(frame_units!E1019&lt;&gt;"",frame_units!E1019,NA())</f>
        <v/>
      </c>
      <c r="V1022">
        <f>IF(frame_units!E1019&lt;&gt;"",frame_units!F1019,NA())</f>
        <v/>
      </c>
    </row>
    <row r="1023">
      <c r="U1023">
        <f>IF(frame_units!E1020&lt;&gt;"",frame_units!E1020,NA())</f>
        <v/>
      </c>
      <c r="V1023">
        <f>IF(frame_units!E1020&lt;&gt;"",frame_units!F1020,NA())</f>
        <v/>
      </c>
    </row>
    <row r="1024">
      <c r="U1024">
        <f>IF(frame_units!E1021&lt;&gt;"",frame_units!E1021,NA())</f>
        <v/>
      </c>
      <c r="V1024">
        <f>IF(frame_units!E1021&lt;&gt;"",frame_units!F1021,NA())</f>
        <v/>
      </c>
    </row>
    <row r="1025">
      <c r="U1025">
        <f>IF(frame_units!E1022&lt;&gt;"",frame_units!E1022,NA())</f>
        <v/>
      </c>
      <c r="V1025">
        <f>IF(frame_units!E1022&lt;&gt;"",frame_units!F1022,NA())</f>
        <v/>
      </c>
    </row>
    <row r="1026">
      <c r="U1026">
        <f>IF(frame_units!E1023&lt;&gt;"",frame_units!E1023,NA())</f>
        <v/>
      </c>
      <c r="V1026">
        <f>IF(frame_units!E1023&lt;&gt;"",frame_units!F1023,NA())</f>
        <v/>
      </c>
    </row>
    <row r="1027">
      <c r="U1027">
        <f>IF(frame_units!E1024&lt;&gt;"",frame_units!E1024,NA())</f>
        <v/>
      </c>
      <c r="V1027">
        <f>IF(frame_units!E1024&lt;&gt;"",frame_units!F1024,NA())</f>
        <v/>
      </c>
    </row>
    <row r="1028">
      <c r="U1028">
        <f>IF(frame_units!E1025&lt;&gt;"",frame_units!E1025,NA())</f>
        <v/>
      </c>
      <c r="V1028">
        <f>IF(frame_units!E1025&lt;&gt;"",frame_units!F1025,NA())</f>
        <v/>
      </c>
    </row>
    <row r="1029">
      <c r="U1029">
        <f>IF(frame_units!E1026&lt;&gt;"",frame_units!E1026,NA())</f>
        <v/>
      </c>
      <c r="V1029">
        <f>IF(frame_units!E1026&lt;&gt;"",frame_units!F1026,NA())</f>
        <v/>
      </c>
    </row>
    <row r="1030">
      <c r="U1030">
        <f>IF(frame_units!E1027&lt;&gt;"",frame_units!E1027,NA())</f>
        <v/>
      </c>
      <c r="V1030">
        <f>IF(frame_units!E1027&lt;&gt;"",frame_units!F1027,NA())</f>
        <v/>
      </c>
    </row>
    <row r="1031">
      <c r="U1031">
        <f>IF(frame_units!E1028&lt;&gt;"",frame_units!E1028,NA())</f>
        <v/>
      </c>
      <c r="V1031">
        <f>IF(frame_units!E1028&lt;&gt;"",frame_units!F1028,NA())</f>
        <v/>
      </c>
    </row>
    <row r="1032">
      <c r="U1032">
        <f>IF(frame_units!E1029&lt;&gt;"",frame_units!E1029,NA())</f>
        <v/>
      </c>
      <c r="V1032">
        <f>IF(frame_units!E1029&lt;&gt;"",frame_units!F1029,NA())</f>
        <v/>
      </c>
    </row>
    <row r="1033">
      <c r="U1033">
        <f>IF(frame_units!E1030&lt;&gt;"",frame_units!E1030,NA())</f>
        <v/>
      </c>
      <c r="V1033">
        <f>IF(frame_units!E1030&lt;&gt;"",frame_units!F1030,NA())</f>
        <v/>
      </c>
    </row>
    <row r="1034">
      <c r="U1034">
        <f>IF(frame_units!E1031&lt;&gt;"",frame_units!E1031,NA())</f>
        <v/>
      </c>
      <c r="V1034">
        <f>IF(frame_units!E1031&lt;&gt;"",frame_units!F1031,NA())</f>
        <v/>
      </c>
    </row>
    <row r="1035">
      <c r="U1035">
        <f>IF(frame_units!E1032&lt;&gt;"",frame_units!E1032,NA())</f>
        <v/>
      </c>
      <c r="V1035">
        <f>IF(frame_units!E1032&lt;&gt;"",frame_units!F1032,NA())</f>
        <v/>
      </c>
    </row>
    <row r="1036">
      <c r="U1036">
        <f>IF(frame_units!E1033&lt;&gt;"",frame_units!E1033,NA())</f>
        <v/>
      </c>
      <c r="V1036">
        <f>IF(frame_units!E1033&lt;&gt;"",frame_units!F1033,NA())</f>
        <v/>
      </c>
    </row>
    <row r="1037">
      <c r="U1037">
        <f>IF(frame_units!E1034&lt;&gt;"",frame_units!E1034,NA())</f>
        <v/>
      </c>
      <c r="V1037">
        <f>IF(frame_units!E1034&lt;&gt;"",frame_units!F1034,NA())</f>
        <v/>
      </c>
    </row>
    <row r="1038">
      <c r="U1038">
        <f>IF(frame_units!E1035&lt;&gt;"",frame_units!E1035,NA())</f>
        <v/>
      </c>
      <c r="V1038">
        <f>IF(frame_units!E1035&lt;&gt;"",frame_units!F1035,NA())</f>
        <v/>
      </c>
    </row>
    <row r="1039">
      <c r="U1039">
        <f>IF(frame_units!E1036&lt;&gt;"",frame_units!E1036,NA())</f>
        <v/>
      </c>
      <c r="V1039">
        <f>IF(frame_units!E1036&lt;&gt;"",frame_units!F1036,NA())</f>
        <v/>
      </c>
    </row>
    <row r="1040">
      <c r="U1040">
        <f>IF(frame_units!E1037&lt;&gt;"",frame_units!E1037,NA())</f>
        <v/>
      </c>
      <c r="V1040">
        <f>IF(frame_units!E1037&lt;&gt;"",frame_units!F1037,NA())</f>
        <v/>
      </c>
    </row>
    <row r="1041">
      <c r="U1041">
        <f>IF(frame_units!E1038&lt;&gt;"",frame_units!E1038,NA())</f>
        <v/>
      </c>
      <c r="V1041">
        <f>IF(frame_units!E1038&lt;&gt;"",frame_units!F1038,NA())</f>
        <v/>
      </c>
    </row>
    <row r="1042">
      <c r="U1042">
        <f>IF(frame_units!E1039&lt;&gt;"",frame_units!E1039,NA())</f>
        <v/>
      </c>
      <c r="V1042">
        <f>IF(frame_units!E1039&lt;&gt;"",frame_units!F1039,NA())</f>
        <v/>
      </c>
    </row>
    <row r="1043">
      <c r="U1043">
        <f>IF(frame_units!E1040&lt;&gt;"",frame_units!E1040,NA())</f>
        <v/>
      </c>
      <c r="V1043">
        <f>IF(frame_units!E1040&lt;&gt;"",frame_units!F1040,NA())</f>
        <v/>
      </c>
    </row>
    <row r="1044">
      <c r="U1044">
        <f>IF(frame_units!E1041&lt;&gt;"",frame_units!E1041,NA())</f>
        <v/>
      </c>
      <c r="V1044">
        <f>IF(frame_units!E1041&lt;&gt;"",frame_units!F1041,NA())</f>
        <v/>
      </c>
    </row>
    <row r="1045">
      <c r="U1045">
        <f>IF(frame_units!E1042&lt;&gt;"",frame_units!E1042,NA())</f>
        <v/>
      </c>
      <c r="V1045">
        <f>IF(frame_units!E1042&lt;&gt;"",frame_units!F1042,NA())</f>
        <v/>
      </c>
    </row>
    <row r="1046">
      <c r="U1046">
        <f>IF(frame_units!E1043&lt;&gt;"",frame_units!E1043,NA())</f>
        <v/>
      </c>
      <c r="V1046">
        <f>IF(frame_units!E1043&lt;&gt;"",frame_units!F1043,NA())</f>
        <v/>
      </c>
    </row>
    <row r="1047">
      <c r="U1047">
        <f>IF(frame_units!E1044&lt;&gt;"",frame_units!E1044,NA())</f>
        <v/>
      </c>
      <c r="V1047">
        <f>IF(frame_units!E1044&lt;&gt;"",frame_units!F1044,NA())</f>
        <v/>
      </c>
    </row>
    <row r="1048">
      <c r="U1048">
        <f>IF(frame_units!E1045&lt;&gt;"",frame_units!E1045,NA())</f>
        <v/>
      </c>
      <c r="V1048">
        <f>IF(frame_units!E1045&lt;&gt;"",frame_units!F1045,NA())</f>
        <v/>
      </c>
    </row>
    <row r="1049">
      <c r="U1049">
        <f>IF(frame_units!E1046&lt;&gt;"",frame_units!E1046,NA())</f>
        <v/>
      </c>
      <c r="V1049">
        <f>IF(frame_units!E1046&lt;&gt;"",frame_units!F1046,NA())</f>
        <v/>
      </c>
    </row>
    <row r="1050">
      <c r="U1050">
        <f>IF(frame_units!E1047&lt;&gt;"",frame_units!E1047,NA())</f>
        <v/>
      </c>
      <c r="V1050">
        <f>IF(frame_units!E1047&lt;&gt;"",frame_units!F1047,NA())</f>
        <v/>
      </c>
    </row>
    <row r="1051">
      <c r="U1051">
        <f>IF(frame_units!E1048&lt;&gt;"",frame_units!E1048,NA())</f>
        <v/>
      </c>
      <c r="V1051">
        <f>IF(frame_units!E1048&lt;&gt;"",frame_units!F1048,NA())</f>
        <v/>
      </c>
    </row>
    <row r="1052">
      <c r="U1052">
        <f>IF(frame_units!E1049&lt;&gt;"",frame_units!E1049,NA())</f>
        <v/>
      </c>
      <c r="V1052">
        <f>IF(frame_units!E1049&lt;&gt;"",frame_units!F1049,NA())</f>
        <v/>
      </c>
    </row>
    <row r="1053">
      <c r="U1053">
        <f>IF(frame_units!E1050&lt;&gt;"",frame_units!E1050,NA())</f>
        <v/>
      </c>
      <c r="V1053">
        <f>IF(frame_units!E1050&lt;&gt;"",frame_units!F1050,NA())</f>
        <v/>
      </c>
    </row>
    <row r="1054">
      <c r="U1054">
        <f>IF(frame_units!E1051&lt;&gt;"",frame_units!E1051,NA())</f>
        <v/>
      </c>
      <c r="V1054">
        <f>IF(frame_units!E1051&lt;&gt;"",frame_units!F1051,NA())</f>
        <v/>
      </c>
    </row>
    <row r="1055">
      <c r="U1055">
        <f>IF(frame_units!E1052&lt;&gt;"",frame_units!E1052,NA())</f>
        <v/>
      </c>
      <c r="V1055">
        <f>IF(frame_units!E1052&lt;&gt;"",frame_units!F1052,NA())</f>
        <v/>
      </c>
    </row>
    <row r="1056">
      <c r="U1056">
        <f>IF(frame_units!E1053&lt;&gt;"",frame_units!E1053,NA())</f>
        <v/>
      </c>
      <c r="V1056">
        <f>IF(frame_units!E1053&lt;&gt;"",frame_units!F1053,NA())</f>
        <v/>
      </c>
    </row>
    <row r="1057">
      <c r="U1057">
        <f>IF(frame_units!E1054&lt;&gt;"",frame_units!E1054,NA())</f>
        <v/>
      </c>
      <c r="V1057">
        <f>IF(frame_units!E1054&lt;&gt;"",frame_units!F1054,NA())</f>
        <v/>
      </c>
    </row>
    <row r="1058">
      <c r="U1058">
        <f>IF(frame_units!E1055&lt;&gt;"",frame_units!E1055,NA())</f>
        <v/>
      </c>
      <c r="V1058">
        <f>IF(frame_units!E1055&lt;&gt;"",frame_units!F1055,NA())</f>
        <v/>
      </c>
    </row>
    <row r="1059">
      <c r="U1059">
        <f>IF(frame_units!E1056&lt;&gt;"",frame_units!E1056,NA())</f>
        <v/>
      </c>
      <c r="V1059">
        <f>IF(frame_units!E1056&lt;&gt;"",frame_units!F1056,NA())</f>
        <v/>
      </c>
    </row>
    <row r="1060">
      <c r="U1060">
        <f>IF(frame_units!E1057&lt;&gt;"",frame_units!E1057,NA())</f>
        <v/>
      </c>
      <c r="V1060">
        <f>IF(frame_units!E1057&lt;&gt;"",frame_units!F1057,NA())</f>
        <v/>
      </c>
    </row>
    <row r="1061">
      <c r="U1061">
        <f>IF(frame_units!E1058&lt;&gt;"",frame_units!E1058,NA())</f>
        <v/>
      </c>
      <c r="V1061">
        <f>IF(frame_units!E1058&lt;&gt;"",frame_units!F1058,NA())</f>
        <v/>
      </c>
    </row>
    <row r="1062">
      <c r="U1062">
        <f>IF(frame_units!E1059&lt;&gt;"",frame_units!E1059,NA())</f>
        <v/>
      </c>
      <c r="V1062">
        <f>IF(frame_units!E1059&lt;&gt;"",frame_units!F1059,NA())</f>
        <v/>
      </c>
    </row>
    <row r="1063">
      <c r="U1063">
        <f>IF(frame_units!E1060&lt;&gt;"",frame_units!E1060,NA())</f>
        <v/>
      </c>
      <c r="V1063">
        <f>IF(frame_units!E1060&lt;&gt;"",frame_units!F1060,NA())</f>
        <v/>
      </c>
    </row>
    <row r="1064">
      <c r="U1064">
        <f>IF(frame_units!E1061&lt;&gt;"",frame_units!E1061,NA())</f>
        <v/>
      </c>
      <c r="V1064">
        <f>IF(frame_units!E1061&lt;&gt;"",frame_units!F1061,NA())</f>
        <v/>
      </c>
    </row>
    <row r="1065">
      <c r="U1065">
        <f>IF(frame_units!E1062&lt;&gt;"",frame_units!E1062,NA())</f>
        <v/>
      </c>
      <c r="V1065">
        <f>IF(frame_units!E1062&lt;&gt;"",frame_units!F1062,NA())</f>
        <v/>
      </c>
    </row>
    <row r="1066">
      <c r="U1066">
        <f>IF(frame_units!E1063&lt;&gt;"",frame_units!E1063,NA())</f>
        <v/>
      </c>
      <c r="V1066">
        <f>IF(frame_units!E1063&lt;&gt;"",frame_units!F1063,NA())</f>
        <v/>
      </c>
    </row>
    <row r="1067">
      <c r="U1067">
        <f>IF(frame_units!E1064&lt;&gt;"",frame_units!E1064,NA())</f>
        <v/>
      </c>
      <c r="V1067">
        <f>IF(frame_units!E1064&lt;&gt;"",frame_units!F1064,NA())</f>
        <v/>
      </c>
    </row>
    <row r="1068">
      <c r="U1068">
        <f>IF(frame_units!E1065&lt;&gt;"",frame_units!E1065,NA())</f>
        <v/>
      </c>
      <c r="V1068">
        <f>IF(frame_units!E1065&lt;&gt;"",frame_units!F1065,NA())</f>
        <v/>
      </c>
    </row>
    <row r="1069">
      <c r="U1069">
        <f>IF(frame_units!E1066&lt;&gt;"",frame_units!E1066,NA())</f>
        <v/>
      </c>
      <c r="V1069">
        <f>IF(frame_units!E1066&lt;&gt;"",frame_units!F1066,NA())</f>
        <v/>
      </c>
    </row>
    <row r="1070">
      <c r="U1070">
        <f>IF(frame_units!E1067&lt;&gt;"",frame_units!E1067,NA())</f>
        <v/>
      </c>
      <c r="V1070">
        <f>IF(frame_units!E1067&lt;&gt;"",frame_units!F1067,NA())</f>
        <v/>
      </c>
    </row>
    <row r="1071">
      <c r="U1071">
        <f>IF(frame_units!E1068&lt;&gt;"",frame_units!E1068,NA())</f>
        <v/>
      </c>
      <c r="V1071">
        <f>IF(frame_units!E1068&lt;&gt;"",frame_units!F1068,NA())</f>
        <v/>
      </c>
    </row>
    <row r="1072">
      <c r="U1072">
        <f>IF(frame_units!E1069&lt;&gt;"",frame_units!E1069,NA())</f>
        <v/>
      </c>
      <c r="V1072">
        <f>IF(frame_units!E1069&lt;&gt;"",frame_units!F1069,NA())</f>
        <v/>
      </c>
    </row>
    <row r="1073">
      <c r="U1073">
        <f>IF(frame_units!E1070&lt;&gt;"",frame_units!E1070,NA())</f>
        <v/>
      </c>
      <c r="V1073">
        <f>IF(frame_units!E1070&lt;&gt;"",frame_units!F1070,NA())</f>
        <v/>
      </c>
    </row>
    <row r="1074">
      <c r="U1074">
        <f>IF(frame_units!E1071&lt;&gt;"",frame_units!E1071,NA())</f>
        <v/>
      </c>
      <c r="V1074">
        <f>IF(frame_units!E1071&lt;&gt;"",frame_units!F1071,NA())</f>
        <v/>
      </c>
    </row>
    <row r="1075">
      <c r="U1075">
        <f>IF(frame_units!E1072&lt;&gt;"",frame_units!E1072,NA())</f>
        <v/>
      </c>
      <c r="V1075">
        <f>IF(frame_units!E1072&lt;&gt;"",frame_units!F1072,NA())</f>
        <v/>
      </c>
    </row>
    <row r="1076">
      <c r="U1076">
        <f>IF(frame_units!E1073&lt;&gt;"",frame_units!E1073,NA())</f>
        <v/>
      </c>
      <c r="V1076">
        <f>IF(frame_units!E1073&lt;&gt;"",frame_units!F1073,NA())</f>
        <v/>
      </c>
    </row>
    <row r="1077">
      <c r="U1077">
        <f>IF(frame_units!E1074&lt;&gt;"",frame_units!E1074,NA())</f>
        <v/>
      </c>
      <c r="V1077">
        <f>IF(frame_units!E1074&lt;&gt;"",frame_units!F1074,NA())</f>
        <v/>
      </c>
    </row>
    <row r="1078">
      <c r="U1078">
        <f>IF(frame_units!E1075&lt;&gt;"",frame_units!E1075,NA())</f>
        <v/>
      </c>
      <c r="V1078">
        <f>IF(frame_units!E1075&lt;&gt;"",frame_units!F1075,NA())</f>
        <v/>
      </c>
    </row>
    <row r="1079">
      <c r="U1079">
        <f>IF(frame_units!E1076&lt;&gt;"",frame_units!E1076,NA())</f>
        <v/>
      </c>
      <c r="V1079">
        <f>IF(frame_units!E1076&lt;&gt;"",frame_units!F1076,NA())</f>
        <v/>
      </c>
    </row>
    <row r="1080">
      <c r="U1080">
        <f>IF(frame_units!E1077&lt;&gt;"",frame_units!E1077,NA())</f>
        <v/>
      </c>
      <c r="V1080">
        <f>IF(frame_units!E1077&lt;&gt;"",frame_units!F1077,NA())</f>
        <v/>
      </c>
    </row>
    <row r="1081">
      <c r="U1081">
        <f>IF(frame_units!E1078&lt;&gt;"",frame_units!E1078,NA())</f>
        <v/>
      </c>
      <c r="V1081">
        <f>IF(frame_units!E1078&lt;&gt;"",frame_units!F1078,NA())</f>
        <v/>
      </c>
    </row>
    <row r="1082">
      <c r="U1082">
        <f>IF(frame_units!E1079&lt;&gt;"",frame_units!E1079,NA())</f>
        <v/>
      </c>
      <c r="V1082">
        <f>IF(frame_units!E1079&lt;&gt;"",frame_units!F1079,NA())</f>
        <v/>
      </c>
    </row>
    <row r="1083">
      <c r="U1083">
        <f>IF(frame_units!E1080&lt;&gt;"",frame_units!E1080,NA())</f>
        <v/>
      </c>
      <c r="V1083">
        <f>IF(frame_units!E1080&lt;&gt;"",frame_units!F1080,NA())</f>
        <v/>
      </c>
    </row>
    <row r="1084">
      <c r="U1084">
        <f>IF(frame_units!E1081&lt;&gt;"",frame_units!E1081,NA())</f>
        <v/>
      </c>
      <c r="V1084">
        <f>IF(frame_units!E1081&lt;&gt;"",frame_units!F1081,NA())</f>
        <v/>
      </c>
    </row>
    <row r="1085">
      <c r="U1085">
        <f>IF(frame_units!E1082&lt;&gt;"",frame_units!E1082,NA())</f>
        <v/>
      </c>
      <c r="V1085">
        <f>IF(frame_units!E1082&lt;&gt;"",frame_units!F1082,NA())</f>
        <v/>
      </c>
    </row>
    <row r="1086">
      <c r="U1086">
        <f>IF(frame_units!E1083&lt;&gt;"",frame_units!E1083,NA())</f>
        <v/>
      </c>
      <c r="V1086">
        <f>IF(frame_units!E1083&lt;&gt;"",frame_units!F1083,NA())</f>
        <v/>
      </c>
    </row>
    <row r="1087">
      <c r="U1087">
        <f>IF(frame_units!E1084&lt;&gt;"",frame_units!E1084,NA())</f>
        <v/>
      </c>
      <c r="V1087">
        <f>IF(frame_units!E1084&lt;&gt;"",frame_units!F1084,NA())</f>
        <v/>
      </c>
    </row>
    <row r="1088">
      <c r="U1088">
        <f>IF(frame_units!E1085&lt;&gt;"",frame_units!E1085,NA())</f>
        <v/>
      </c>
      <c r="V1088">
        <f>IF(frame_units!E1085&lt;&gt;"",frame_units!F1085,NA())</f>
        <v/>
      </c>
    </row>
    <row r="1089">
      <c r="U1089">
        <f>IF(frame_units!E1086&lt;&gt;"",frame_units!E1086,NA())</f>
        <v/>
      </c>
      <c r="V1089">
        <f>IF(frame_units!E1086&lt;&gt;"",frame_units!F1086,NA())</f>
        <v/>
      </c>
    </row>
    <row r="1090">
      <c r="U1090">
        <f>IF(frame_units!E1087&lt;&gt;"",frame_units!E1087,NA())</f>
        <v/>
      </c>
      <c r="V1090">
        <f>IF(frame_units!E1087&lt;&gt;"",frame_units!F1087,NA())</f>
        <v/>
      </c>
    </row>
    <row r="1091">
      <c r="U1091">
        <f>IF(frame_units!E1088&lt;&gt;"",frame_units!E1088,NA())</f>
        <v/>
      </c>
      <c r="V1091">
        <f>IF(frame_units!E1088&lt;&gt;"",frame_units!F1088,NA())</f>
        <v/>
      </c>
    </row>
    <row r="1092">
      <c r="U1092">
        <f>IF(frame_units!E1089&lt;&gt;"",frame_units!E1089,NA())</f>
        <v/>
      </c>
      <c r="V1092">
        <f>IF(frame_units!E1089&lt;&gt;"",frame_units!F1089,NA())</f>
        <v/>
      </c>
    </row>
    <row r="1093">
      <c r="U1093">
        <f>IF(frame_units!E1090&lt;&gt;"",frame_units!E1090,NA())</f>
        <v/>
      </c>
      <c r="V1093">
        <f>IF(frame_units!E1090&lt;&gt;"",frame_units!F1090,NA())</f>
        <v/>
      </c>
    </row>
    <row r="1094">
      <c r="U1094">
        <f>IF(frame_units!E1091&lt;&gt;"",frame_units!E1091,NA())</f>
        <v/>
      </c>
      <c r="V1094">
        <f>IF(frame_units!E1091&lt;&gt;"",frame_units!F1091,NA())</f>
        <v/>
      </c>
    </row>
    <row r="1095">
      <c r="U1095">
        <f>IF(frame_units!E1092&lt;&gt;"",frame_units!E1092,NA())</f>
        <v/>
      </c>
      <c r="V1095">
        <f>IF(frame_units!E1092&lt;&gt;"",frame_units!F1092,NA())</f>
        <v/>
      </c>
    </row>
    <row r="1096">
      <c r="U1096">
        <f>IF(frame_units!E1093&lt;&gt;"",frame_units!E1093,NA())</f>
        <v/>
      </c>
      <c r="V1096">
        <f>IF(frame_units!E1093&lt;&gt;"",frame_units!F1093,NA())</f>
        <v/>
      </c>
    </row>
    <row r="1097">
      <c r="U1097">
        <f>IF(frame_units!E1094&lt;&gt;"",frame_units!E1094,NA())</f>
        <v/>
      </c>
      <c r="V1097">
        <f>IF(frame_units!E1094&lt;&gt;"",frame_units!F1094,NA())</f>
        <v/>
      </c>
    </row>
    <row r="1098">
      <c r="U1098">
        <f>IF(frame_units!E1095&lt;&gt;"",frame_units!E1095,NA())</f>
        <v/>
      </c>
      <c r="V1098">
        <f>IF(frame_units!E1095&lt;&gt;"",frame_units!F1095,NA())</f>
        <v/>
      </c>
    </row>
    <row r="1099">
      <c r="U1099">
        <f>IF(frame_units!E1096&lt;&gt;"",frame_units!E1096,NA())</f>
        <v/>
      </c>
      <c r="V1099">
        <f>IF(frame_units!E1096&lt;&gt;"",frame_units!F1096,NA())</f>
        <v/>
      </c>
    </row>
    <row r="1100">
      <c r="U1100">
        <f>IF(frame_units!E1097&lt;&gt;"",frame_units!E1097,NA())</f>
        <v/>
      </c>
      <c r="V1100">
        <f>IF(frame_units!E1097&lt;&gt;"",frame_units!F1097,NA())</f>
        <v/>
      </c>
    </row>
    <row r="1101">
      <c r="U1101">
        <f>IF(frame_units!E1098&lt;&gt;"",frame_units!E1098,NA())</f>
        <v/>
      </c>
      <c r="V1101">
        <f>IF(frame_units!E1098&lt;&gt;"",frame_units!F1098,NA())</f>
        <v/>
      </c>
    </row>
    <row r="1102">
      <c r="U1102">
        <f>IF(frame_units!E1099&lt;&gt;"",frame_units!E1099,NA())</f>
        <v/>
      </c>
      <c r="V1102">
        <f>IF(frame_units!E1099&lt;&gt;"",frame_units!F1099,NA())</f>
        <v/>
      </c>
    </row>
    <row r="1103">
      <c r="U1103">
        <f>IF(frame_units!E1100&lt;&gt;"",frame_units!E1100,NA())</f>
        <v/>
      </c>
      <c r="V1103">
        <f>IF(frame_units!E1100&lt;&gt;"",frame_units!F1100,NA())</f>
        <v/>
      </c>
    </row>
    <row r="1104">
      <c r="U1104">
        <f>IF(frame_units!E1101&lt;&gt;"",frame_units!E1101,NA())</f>
        <v/>
      </c>
      <c r="V1104">
        <f>IF(frame_units!E1101&lt;&gt;"",frame_units!F1101,NA())</f>
        <v/>
      </c>
    </row>
    <row r="1105">
      <c r="U1105">
        <f>IF(frame_units!E1102&lt;&gt;"",frame_units!E1102,NA())</f>
        <v/>
      </c>
      <c r="V1105">
        <f>IF(frame_units!E1102&lt;&gt;"",frame_units!F1102,NA())</f>
        <v/>
      </c>
    </row>
    <row r="1106">
      <c r="U1106">
        <f>IF(frame_units!E1103&lt;&gt;"",frame_units!E1103,NA())</f>
        <v/>
      </c>
      <c r="V1106">
        <f>IF(frame_units!E1103&lt;&gt;"",frame_units!F1103,NA())</f>
        <v/>
      </c>
    </row>
    <row r="1107">
      <c r="U1107">
        <f>IF(frame_units!E1104&lt;&gt;"",frame_units!E1104,NA())</f>
        <v/>
      </c>
      <c r="V1107">
        <f>IF(frame_units!E1104&lt;&gt;"",frame_units!F1104,NA())</f>
        <v/>
      </c>
    </row>
    <row r="1108">
      <c r="U1108">
        <f>IF(frame_units!E1105&lt;&gt;"",frame_units!E1105,NA())</f>
        <v/>
      </c>
      <c r="V1108">
        <f>IF(frame_units!E1105&lt;&gt;"",frame_units!F1105,NA())</f>
        <v/>
      </c>
    </row>
    <row r="1109">
      <c r="U1109">
        <f>IF(frame_units!E1106&lt;&gt;"",frame_units!E1106,NA())</f>
        <v/>
      </c>
      <c r="V1109">
        <f>IF(frame_units!E1106&lt;&gt;"",frame_units!F1106,NA())</f>
        <v/>
      </c>
    </row>
    <row r="1110">
      <c r="U1110">
        <f>IF(frame_units!E1107&lt;&gt;"",frame_units!E1107,NA())</f>
        <v/>
      </c>
      <c r="V1110">
        <f>IF(frame_units!E1107&lt;&gt;"",frame_units!F1107,NA())</f>
        <v/>
      </c>
    </row>
    <row r="1111">
      <c r="U1111">
        <f>IF(frame_units!E1108&lt;&gt;"",frame_units!E1108,NA())</f>
        <v/>
      </c>
      <c r="V1111">
        <f>IF(frame_units!E1108&lt;&gt;"",frame_units!F1108,NA())</f>
        <v/>
      </c>
    </row>
    <row r="1112">
      <c r="U1112">
        <f>IF(frame_units!E1109&lt;&gt;"",frame_units!E1109,NA())</f>
        <v/>
      </c>
      <c r="V1112">
        <f>IF(frame_units!E1109&lt;&gt;"",frame_units!F1109,NA())</f>
        <v/>
      </c>
    </row>
    <row r="1113">
      <c r="U1113">
        <f>IF(frame_units!E1110&lt;&gt;"",frame_units!E1110,NA())</f>
        <v/>
      </c>
      <c r="V1113">
        <f>IF(frame_units!E1110&lt;&gt;"",frame_units!F1110,NA())</f>
        <v/>
      </c>
    </row>
    <row r="1114">
      <c r="U1114">
        <f>IF(frame_units!E1111&lt;&gt;"",frame_units!E1111,NA())</f>
        <v/>
      </c>
      <c r="V1114">
        <f>IF(frame_units!E1111&lt;&gt;"",frame_units!F1111,NA())</f>
        <v/>
      </c>
    </row>
    <row r="1115">
      <c r="U1115">
        <f>IF(frame_units!E1112&lt;&gt;"",frame_units!E1112,NA())</f>
        <v/>
      </c>
      <c r="V1115">
        <f>IF(frame_units!E1112&lt;&gt;"",frame_units!F1112,NA())</f>
        <v/>
      </c>
    </row>
    <row r="1116">
      <c r="U1116">
        <f>IF(frame_units!E1113&lt;&gt;"",frame_units!E1113,NA())</f>
        <v/>
      </c>
      <c r="V1116">
        <f>IF(frame_units!E1113&lt;&gt;"",frame_units!F1113,NA())</f>
        <v/>
      </c>
    </row>
    <row r="1117">
      <c r="U1117">
        <f>IF(frame_units!E1114&lt;&gt;"",frame_units!E1114,NA())</f>
        <v/>
      </c>
      <c r="V1117">
        <f>IF(frame_units!E1114&lt;&gt;"",frame_units!F1114,NA())</f>
        <v/>
      </c>
    </row>
    <row r="1118">
      <c r="U1118">
        <f>IF(frame_units!E1115&lt;&gt;"",frame_units!E1115,NA())</f>
        <v/>
      </c>
      <c r="V1118">
        <f>IF(frame_units!E1115&lt;&gt;"",frame_units!F1115,NA())</f>
        <v/>
      </c>
    </row>
    <row r="1119">
      <c r="U1119">
        <f>IF(frame_units!E1116&lt;&gt;"",frame_units!E1116,NA())</f>
        <v/>
      </c>
      <c r="V1119">
        <f>IF(frame_units!E1116&lt;&gt;"",frame_units!F1116,NA())</f>
        <v/>
      </c>
    </row>
    <row r="1120">
      <c r="U1120">
        <f>IF(frame_units!E1117&lt;&gt;"",frame_units!E1117,NA())</f>
        <v/>
      </c>
      <c r="V1120">
        <f>IF(frame_units!E1117&lt;&gt;"",frame_units!F1117,NA())</f>
        <v/>
      </c>
    </row>
    <row r="1121">
      <c r="U1121">
        <f>IF(frame_units!E1118&lt;&gt;"",frame_units!E1118,NA())</f>
        <v/>
      </c>
      <c r="V1121">
        <f>IF(frame_units!E1118&lt;&gt;"",frame_units!F1118,NA())</f>
        <v/>
      </c>
    </row>
    <row r="1122">
      <c r="U1122">
        <f>IF(frame_units!E1119&lt;&gt;"",frame_units!E1119,NA())</f>
        <v/>
      </c>
      <c r="V1122">
        <f>IF(frame_units!E1119&lt;&gt;"",frame_units!F1119,NA())</f>
        <v/>
      </c>
    </row>
    <row r="1123">
      <c r="U1123">
        <f>IF(frame_units!E1120&lt;&gt;"",frame_units!E1120,NA())</f>
        <v/>
      </c>
      <c r="V1123">
        <f>IF(frame_units!E1120&lt;&gt;"",frame_units!F1120,NA())</f>
        <v/>
      </c>
    </row>
    <row r="1124">
      <c r="U1124">
        <f>IF(frame_units!E1121&lt;&gt;"",frame_units!E1121,NA())</f>
        <v/>
      </c>
      <c r="V1124">
        <f>IF(frame_units!E1121&lt;&gt;"",frame_units!F1121,NA())</f>
        <v/>
      </c>
    </row>
    <row r="1125">
      <c r="U1125">
        <f>IF(frame_units!E1122&lt;&gt;"",frame_units!E1122,NA())</f>
        <v/>
      </c>
      <c r="V1125">
        <f>IF(frame_units!E1122&lt;&gt;"",frame_units!F1122,NA())</f>
        <v/>
      </c>
    </row>
    <row r="1126">
      <c r="U1126">
        <f>IF(frame_units!E1123&lt;&gt;"",frame_units!E1123,NA())</f>
        <v/>
      </c>
      <c r="V1126">
        <f>IF(frame_units!E1123&lt;&gt;"",frame_units!F1123,NA())</f>
        <v/>
      </c>
    </row>
    <row r="1127">
      <c r="U1127">
        <f>IF(frame_units!E1124&lt;&gt;"",frame_units!E1124,NA())</f>
        <v/>
      </c>
      <c r="V1127">
        <f>IF(frame_units!E1124&lt;&gt;"",frame_units!F1124,NA())</f>
        <v/>
      </c>
    </row>
    <row r="1128">
      <c r="U1128">
        <f>IF(frame_units!E1125&lt;&gt;"",frame_units!E1125,NA())</f>
        <v/>
      </c>
      <c r="V1128">
        <f>IF(frame_units!E1125&lt;&gt;"",frame_units!F1125,NA())</f>
        <v/>
      </c>
    </row>
    <row r="1129">
      <c r="U1129">
        <f>IF(frame_units!E1126&lt;&gt;"",frame_units!E1126,NA())</f>
        <v/>
      </c>
      <c r="V1129">
        <f>IF(frame_units!E1126&lt;&gt;"",frame_units!F1126,NA())</f>
        <v/>
      </c>
    </row>
    <row r="1130">
      <c r="U1130">
        <f>IF(frame_units!E1127&lt;&gt;"",frame_units!E1127,NA())</f>
        <v/>
      </c>
      <c r="V1130">
        <f>IF(frame_units!E1127&lt;&gt;"",frame_units!F1127,NA())</f>
        <v/>
      </c>
    </row>
    <row r="1131">
      <c r="U1131">
        <f>IF(frame_units!E1128&lt;&gt;"",frame_units!E1128,NA())</f>
        <v/>
      </c>
      <c r="V1131">
        <f>IF(frame_units!E1128&lt;&gt;"",frame_units!F1128,NA())</f>
        <v/>
      </c>
    </row>
    <row r="1132">
      <c r="U1132">
        <f>IF(frame_units!E1129&lt;&gt;"",frame_units!E1129,NA())</f>
        <v/>
      </c>
      <c r="V1132">
        <f>IF(frame_units!E1129&lt;&gt;"",frame_units!F1129,NA())</f>
        <v/>
      </c>
    </row>
    <row r="1133">
      <c r="U1133">
        <f>IF(frame_units!E1130&lt;&gt;"",frame_units!E1130,NA())</f>
        <v/>
      </c>
      <c r="V1133">
        <f>IF(frame_units!E1130&lt;&gt;"",frame_units!F1130,NA())</f>
        <v/>
      </c>
    </row>
    <row r="1134">
      <c r="U1134">
        <f>IF(frame_units!E1131&lt;&gt;"",frame_units!E1131,NA())</f>
        <v/>
      </c>
      <c r="V1134">
        <f>IF(frame_units!E1131&lt;&gt;"",frame_units!F1131,NA())</f>
        <v/>
      </c>
    </row>
    <row r="1135">
      <c r="U1135">
        <f>IF(frame_units!E1132&lt;&gt;"",frame_units!E1132,NA())</f>
        <v/>
      </c>
      <c r="V1135">
        <f>IF(frame_units!E1132&lt;&gt;"",frame_units!F1132,NA())</f>
        <v/>
      </c>
    </row>
    <row r="1136">
      <c r="U1136">
        <f>IF(frame_units!E1133&lt;&gt;"",frame_units!E1133,NA())</f>
        <v/>
      </c>
      <c r="V1136">
        <f>IF(frame_units!E1133&lt;&gt;"",frame_units!F1133,NA())</f>
        <v/>
      </c>
    </row>
    <row r="1137">
      <c r="U1137">
        <f>IF(frame_units!E1134&lt;&gt;"",frame_units!E1134,NA())</f>
        <v/>
      </c>
      <c r="V1137">
        <f>IF(frame_units!E1134&lt;&gt;"",frame_units!F1134,NA())</f>
        <v/>
      </c>
    </row>
    <row r="1138">
      <c r="U1138">
        <f>IF(frame_units!E1135&lt;&gt;"",frame_units!E1135,NA())</f>
        <v/>
      </c>
      <c r="V1138">
        <f>IF(frame_units!E1135&lt;&gt;"",frame_units!F1135,NA())</f>
        <v/>
      </c>
    </row>
    <row r="1139">
      <c r="U1139">
        <f>IF(frame_units!E1136&lt;&gt;"",frame_units!E1136,NA())</f>
        <v/>
      </c>
      <c r="V1139">
        <f>IF(frame_units!E1136&lt;&gt;"",frame_units!F1136,NA())</f>
        <v/>
      </c>
    </row>
    <row r="1140">
      <c r="U1140">
        <f>IF(frame_units!E1137&lt;&gt;"",frame_units!E1137,NA())</f>
        <v/>
      </c>
      <c r="V1140">
        <f>IF(frame_units!E1137&lt;&gt;"",frame_units!F1137,NA())</f>
        <v/>
      </c>
    </row>
    <row r="1141">
      <c r="U1141">
        <f>IF(frame_units!E1138&lt;&gt;"",frame_units!E1138,NA())</f>
        <v/>
      </c>
      <c r="V1141">
        <f>IF(frame_units!E1138&lt;&gt;"",frame_units!F1138,NA())</f>
        <v/>
      </c>
    </row>
    <row r="1142">
      <c r="U1142">
        <f>IF(frame_units!E1139&lt;&gt;"",frame_units!E1139,NA())</f>
        <v/>
      </c>
      <c r="V1142">
        <f>IF(frame_units!E1139&lt;&gt;"",frame_units!F1139,NA())</f>
        <v/>
      </c>
    </row>
    <row r="1143">
      <c r="U1143">
        <f>IF(frame_units!E1140&lt;&gt;"",frame_units!E1140,NA())</f>
        <v/>
      </c>
      <c r="V1143">
        <f>IF(frame_units!E1140&lt;&gt;"",frame_units!F1140,NA())</f>
        <v/>
      </c>
    </row>
    <row r="1144">
      <c r="U1144">
        <f>IF(frame_units!E1141&lt;&gt;"",frame_units!E1141,NA())</f>
        <v/>
      </c>
      <c r="V1144">
        <f>IF(frame_units!E1141&lt;&gt;"",frame_units!F1141,NA())</f>
        <v/>
      </c>
    </row>
    <row r="1145">
      <c r="U1145">
        <f>IF(frame_units!E1142&lt;&gt;"",frame_units!E1142,NA())</f>
        <v/>
      </c>
      <c r="V1145">
        <f>IF(frame_units!E1142&lt;&gt;"",frame_units!F1142,NA())</f>
        <v/>
      </c>
    </row>
    <row r="1146">
      <c r="U1146">
        <f>IF(frame_units!E1143&lt;&gt;"",frame_units!E1143,NA())</f>
        <v/>
      </c>
      <c r="V1146">
        <f>IF(frame_units!E1143&lt;&gt;"",frame_units!F1143,NA())</f>
        <v/>
      </c>
    </row>
    <row r="1147">
      <c r="U1147">
        <f>IF(frame_units!E1144&lt;&gt;"",frame_units!E1144,NA())</f>
        <v/>
      </c>
      <c r="V1147">
        <f>IF(frame_units!E1144&lt;&gt;"",frame_units!F1144,NA())</f>
        <v/>
      </c>
    </row>
    <row r="1148">
      <c r="U1148">
        <f>IF(frame_units!E1145&lt;&gt;"",frame_units!E1145,NA())</f>
        <v/>
      </c>
      <c r="V1148">
        <f>IF(frame_units!E1145&lt;&gt;"",frame_units!F1145,NA())</f>
        <v/>
      </c>
    </row>
    <row r="1149">
      <c r="U1149">
        <f>IF(frame_units!E1146&lt;&gt;"",frame_units!E1146,NA())</f>
        <v/>
      </c>
      <c r="V1149">
        <f>IF(frame_units!E1146&lt;&gt;"",frame_units!F1146,NA())</f>
        <v/>
      </c>
    </row>
    <row r="1150">
      <c r="U1150">
        <f>IF(frame_units!E1147&lt;&gt;"",frame_units!E1147,NA())</f>
        <v/>
      </c>
      <c r="V1150">
        <f>IF(frame_units!E1147&lt;&gt;"",frame_units!F1147,NA())</f>
        <v/>
      </c>
    </row>
    <row r="1151">
      <c r="U1151">
        <f>IF(frame_units!E1148&lt;&gt;"",frame_units!E1148,NA())</f>
        <v/>
      </c>
      <c r="V1151">
        <f>IF(frame_units!E1148&lt;&gt;"",frame_units!F1148,NA())</f>
        <v/>
      </c>
    </row>
    <row r="1152">
      <c r="U1152">
        <f>IF(frame_units!E1149&lt;&gt;"",frame_units!E1149,NA())</f>
        <v/>
      </c>
      <c r="V1152">
        <f>IF(frame_units!E1149&lt;&gt;"",frame_units!F1149,NA())</f>
        <v/>
      </c>
    </row>
    <row r="1153">
      <c r="U1153">
        <f>IF(frame_units!E1150&lt;&gt;"",frame_units!E1150,NA())</f>
        <v/>
      </c>
      <c r="V1153">
        <f>IF(frame_units!E1150&lt;&gt;"",frame_units!F1150,NA())</f>
        <v/>
      </c>
    </row>
    <row r="1154">
      <c r="U1154">
        <f>IF(frame_units!E1151&lt;&gt;"",frame_units!E1151,NA())</f>
        <v/>
      </c>
      <c r="V1154">
        <f>IF(frame_units!E1151&lt;&gt;"",frame_units!F1151,NA())</f>
        <v/>
      </c>
    </row>
    <row r="1155">
      <c r="U1155">
        <f>IF(frame_units!E1152&lt;&gt;"",frame_units!E1152,NA())</f>
        <v/>
      </c>
      <c r="V1155">
        <f>IF(frame_units!E1152&lt;&gt;"",frame_units!F1152,NA())</f>
        <v/>
      </c>
    </row>
    <row r="1156">
      <c r="U1156">
        <f>IF(frame_units!E1153&lt;&gt;"",frame_units!E1153,NA())</f>
        <v/>
      </c>
      <c r="V1156">
        <f>IF(frame_units!E1153&lt;&gt;"",frame_units!F1153,NA())</f>
        <v/>
      </c>
    </row>
    <row r="1157">
      <c r="U1157">
        <f>IF(frame_units!E1154&lt;&gt;"",frame_units!E1154,NA())</f>
        <v/>
      </c>
      <c r="V1157">
        <f>IF(frame_units!E1154&lt;&gt;"",frame_units!F1154,NA())</f>
        <v/>
      </c>
    </row>
    <row r="1158">
      <c r="U1158">
        <f>IF(frame_units!E1155&lt;&gt;"",frame_units!E1155,NA())</f>
        <v/>
      </c>
      <c r="V1158">
        <f>IF(frame_units!E1155&lt;&gt;"",frame_units!F1155,NA())</f>
        <v/>
      </c>
    </row>
    <row r="1159">
      <c r="U1159">
        <f>IF(frame_units!E1156&lt;&gt;"",frame_units!E1156,NA())</f>
        <v/>
      </c>
      <c r="V1159">
        <f>IF(frame_units!E1156&lt;&gt;"",frame_units!F1156,NA())</f>
        <v/>
      </c>
    </row>
    <row r="1160">
      <c r="U1160">
        <f>IF(frame_units!E1157&lt;&gt;"",frame_units!E1157,NA())</f>
        <v/>
      </c>
      <c r="V1160">
        <f>IF(frame_units!E1157&lt;&gt;"",frame_units!F1157,NA())</f>
        <v/>
      </c>
    </row>
    <row r="1161">
      <c r="U1161">
        <f>IF(frame_units!E1158&lt;&gt;"",frame_units!E1158,NA())</f>
        <v/>
      </c>
      <c r="V1161">
        <f>IF(frame_units!E1158&lt;&gt;"",frame_units!F1158,NA())</f>
        <v/>
      </c>
    </row>
    <row r="1162">
      <c r="U1162">
        <f>IF(frame_units!E1159&lt;&gt;"",frame_units!E1159,NA())</f>
        <v/>
      </c>
      <c r="V1162">
        <f>IF(frame_units!E1159&lt;&gt;"",frame_units!F1159,NA())</f>
        <v/>
      </c>
    </row>
    <row r="1163">
      <c r="U1163">
        <f>IF(frame_units!E1160&lt;&gt;"",frame_units!E1160,NA())</f>
        <v/>
      </c>
      <c r="V1163">
        <f>IF(frame_units!E1160&lt;&gt;"",frame_units!F1160,NA())</f>
        <v/>
      </c>
    </row>
    <row r="1164">
      <c r="U1164">
        <f>IF(frame_units!E1161&lt;&gt;"",frame_units!E1161,NA())</f>
        <v/>
      </c>
      <c r="V1164">
        <f>IF(frame_units!E1161&lt;&gt;"",frame_units!F1161,NA())</f>
        <v/>
      </c>
    </row>
    <row r="1165">
      <c r="U1165">
        <f>IF(frame_units!E1162&lt;&gt;"",frame_units!E1162,NA())</f>
        <v/>
      </c>
      <c r="V1165">
        <f>IF(frame_units!E1162&lt;&gt;"",frame_units!F1162,NA())</f>
        <v/>
      </c>
    </row>
    <row r="1166">
      <c r="U1166">
        <f>IF(frame_units!E1163&lt;&gt;"",frame_units!E1163,NA())</f>
        <v/>
      </c>
      <c r="V1166">
        <f>IF(frame_units!E1163&lt;&gt;"",frame_units!F1163,NA())</f>
        <v/>
      </c>
    </row>
    <row r="1167">
      <c r="U1167">
        <f>IF(frame_units!E1164&lt;&gt;"",frame_units!E1164,NA())</f>
        <v/>
      </c>
      <c r="V1167">
        <f>IF(frame_units!E1164&lt;&gt;"",frame_units!F1164,NA())</f>
        <v/>
      </c>
    </row>
    <row r="1168">
      <c r="U1168">
        <f>IF(frame_units!E1165&lt;&gt;"",frame_units!E1165,NA())</f>
        <v/>
      </c>
      <c r="V1168">
        <f>IF(frame_units!E1165&lt;&gt;"",frame_units!F1165,NA())</f>
        <v/>
      </c>
    </row>
    <row r="1169">
      <c r="U1169">
        <f>IF(frame_units!E1166&lt;&gt;"",frame_units!E1166,NA())</f>
        <v/>
      </c>
      <c r="V1169">
        <f>IF(frame_units!E1166&lt;&gt;"",frame_units!F1166,NA())</f>
        <v/>
      </c>
    </row>
    <row r="1170">
      <c r="U1170">
        <f>IF(frame_units!E1167&lt;&gt;"",frame_units!E1167,NA())</f>
        <v/>
      </c>
      <c r="V1170">
        <f>IF(frame_units!E1167&lt;&gt;"",frame_units!F1167,NA())</f>
        <v/>
      </c>
    </row>
    <row r="1171">
      <c r="U1171">
        <f>IF(frame_units!E1168&lt;&gt;"",frame_units!E1168,NA())</f>
        <v/>
      </c>
      <c r="V1171">
        <f>IF(frame_units!E1168&lt;&gt;"",frame_units!F1168,NA())</f>
        <v/>
      </c>
    </row>
    <row r="1172">
      <c r="U1172">
        <f>IF(frame_units!E1169&lt;&gt;"",frame_units!E1169,NA())</f>
        <v/>
      </c>
      <c r="V1172">
        <f>IF(frame_units!E1169&lt;&gt;"",frame_units!F1169,NA())</f>
        <v/>
      </c>
    </row>
    <row r="1173">
      <c r="U1173">
        <f>IF(frame_units!E1170&lt;&gt;"",frame_units!E1170,NA())</f>
        <v/>
      </c>
      <c r="V1173">
        <f>IF(frame_units!E1170&lt;&gt;"",frame_units!F1170,NA())</f>
        <v/>
      </c>
    </row>
    <row r="1174">
      <c r="U1174">
        <f>IF(frame_units!E1171&lt;&gt;"",frame_units!E1171,NA())</f>
        <v/>
      </c>
      <c r="V1174">
        <f>IF(frame_units!E1171&lt;&gt;"",frame_units!F1171,NA())</f>
        <v/>
      </c>
    </row>
    <row r="1175">
      <c r="U1175">
        <f>IF(frame_units!E1172&lt;&gt;"",frame_units!E1172,NA())</f>
        <v/>
      </c>
      <c r="V1175">
        <f>IF(frame_units!E1172&lt;&gt;"",frame_units!F1172,NA())</f>
        <v/>
      </c>
    </row>
    <row r="1176">
      <c r="U1176">
        <f>IF(frame_units!E1173&lt;&gt;"",frame_units!E1173,NA())</f>
        <v/>
      </c>
      <c r="V1176">
        <f>IF(frame_units!E1173&lt;&gt;"",frame_units!F1173,NA())</f>
        <v/>
      </c>
    </row>
    <row r="1177">
      <c r="U1177">
        <f>IF(frame_units!E1174&lt;&gt;"",frame_units!E1174,NA())</f>
        <v/>
      </c>
      <c r="V1177">
        <f>IF(frame_units!E1174&lt;&gt;"",frame_units!F1174,NA())</f>
        <v/>
      </c>
    </row>
    <row r="1178">
      <c r="U1178">
        <f>IF(frame_units!E1175&lt;&gt;"",frame_units!E1175,NA())</f>
        <v/>
      </c>
      <c r="V1178">
        <f>IF(frame_units!E1175&lt;&gt;"",frame_units!F1175,NA())</f>
        <v/>
      </c>
    </row>
    <row r="1179">
      <c r="U1179">
        <f>IF(frame_units!E1176&lt;&gt;"",frame_units!E1176,NA())</f>
        <v/>
      </c>
      <c r="V1179">
        <f>IF(frame_units!E1176&lt;&gt;"",frame_units!F1176,NA())</f>
        <v/>
      </c>
    </row>
    <row r="1180">
      <c r="U1180">
        <f>IF(frame_units!E1177&lt;&gt;"",frame_units!E1177,NA())</f>
        <v/>
      </c>
      <c r="V1180">
        <f>IF(frame_units!E1177&lt;&gt;"",frame_units!F1177,NA())</f>
        <v/>
      </c>
    </row>
    <row r="1181">
      <c r="U1181">
        <f>IF(frame_units!E1178&lt;&gt;"",frame_units!E1178,NA())</f>
        <v/>
      </c>
      <c r="V1181">
        <f>IF(frame_units!E1178&lt;&gt;"",frame_units!F1178,NA())</f>
        <v/>
      </c>
    </row>
    <row r="1182">
      <c r="U1182">
        <f>IF(frame_units!E1179&lt;&gt;"",frame_units!E1179,NA())</f>
        <v/>
      </c>
      <c r="V1182">
        <f>IF(frame_units!E1179&lt;&gt;"",frame_units!F1179,NA())</f>
        <v/>
      </c>
    </row>
    <row r="1183">
      <c r="U1183">
        <f>IF(frame_units!E1180&lt;&gt;"",frame_units!E1180,NA())</f>
        <v/>
      </c>
      <c r="V1183">
        <f>IF(frame_units!E1180&lt;&gt;"",frame_units!F1180,NA())</f>
        <v/>
      </c>
    </row>
    <row r="1184">
      <c r="U1184">
        <f>IF(frame_units!E1181&lt;&gt;"",frame_units!E1181,NA())</f>
        <v/>
      </c>
      <c r="V1184">
        <f>IF(frame_units!E1181&lt;&gt;"",frame_units!F1181,NA())</f>
        <v/>
      </c>
    </row>
    <row r="1185">
      <c r="U1185">
        <f>IF(frame_units!E1182&lt;&gt;"",frame_units!E1182,NA())</f>
        <v/>
      </c>
      <c r="V1185">
        <f>IF(frame_units!E1182&lt;&gt;"",frame_units!F1182,NA())</f>
        <v/>
      </c>
    </row>
    <row r="1186">
      <c r="U1186">
        <f>IF(frame_units!E1183&lt;&gt;"",frame_units!E1183,NA())</f>
        <v/>
      </c>
      <c r="V1186">
        <f>IF(frame_units!E1183&lt;&gt;"",frame_units!F1183,NA())</f>
        <v/>
      </c>
    </row>
    <row r="1187">
      <c r="U1187">
        <f>IF(frame_units!E1184&lt;&gt;"",frame_units!E1184,NA())</f>
        <v/>
      </c>
      <c r="V1187">
        <f>IF(frame_units!E1184&lt;&gt;"",frame_units!F1184,NA())</f>
        <v/>
      </c>
    </row>
    <row r="1188">
      <c r="U1188">
        <f>IF(frame_units!E1185&lt;&gt;"",frame_units!E1185,NA())</f>
        <v/>
      </c>
      <c r="V1188">
        <f>IF(frame_units!E1185&lt;&gt;"",frame_units!F1185,NA())</f>
        <v/>
      </c>
    </row>
    <row r="1189">
      <c r="U1189">
        <f>IF(frame_units!E1186&lt;&gt;"",frame_units!E1186,NA())</f>
        <v/>
      </c>
      <c r="V1189">
        <f>IF(frame_units!E1186&lt;&gt;"",frame_units!F1186,NA())</f>
        <v/>
      </c>
    </row>
    <row r="1190">
      <c r="U1190">
        <f>IF(frame_units!E1187&lt;&gt;"",frame_units!E1187,NA())</f>
        <v/>
      </c>
      <c r="V1190">
        <f>IF(frame_units!E1187&lt;&gt;"",frame_units!F1187,NA())</f>
        <v/>
      </c>
    </row>
    <row r="1191">
      <c r="U1191">
        <f>IF(frame_units!E1188&lt;&gt;"",frame_units!E1188,NA())</f>
        <v/>
      </c>
      <c r="V1191">
        <f>IF(frame_units!E1188&lt;&gt;"",frame_units!F1188,NA())</f>
        <v/>
      </c>
    </row>
    <row r="1192">
      <c r="U1192">
        <f>IF(frame_units!E1189&lt;&gt;"",frame_units!E1189,NA())</f>
        <v/>
      </c>
      <c r="V1192">
        <f>IF(frame_units!E1189&lt;&gt;"",frame_units!F1189,NA())</f>
        <v/>
      </c>
    </row>
    <row r="1193">
      <c r="U1193">
        <f>IF(frame_units!E1190&lt;&gt;"",frame_units!E1190,NA())</f>
        <v/>
      </c>
      <c r="V1193">
        <f>IF(frame_units!E1190&lt;&gt;"",frame_units!F1190,NA())</f>
        <v/>
      </c>
    </row>
    <row r="1194">
      <c r="U1194">
        <f>IF(frame_units!E1191&lt;&gt;"",frame_units!E1191,NA())</f>
        <v/>
      </c>
      <c r="V1194">
        <f>IF(frame_units!E1191&lt;&gt;"",frame_units!F1191,NA())</f>
        <v/>
      </c>
    </row>
    <row r="1195">
      <c r="U1195">
        <f>IF(frame_units!E1192&lt;&gt;"",frame_units!E1192,NA())</f>
        <v/>
      </c>
      <c r="V1195">
        <f>IF(frame_units!E1192&lt;&gt;"",frame_units!F1192,NA())</f>
        <v/>
      </c>
    </row>
    <row r="1196">
      <c r="U1196">
        <f>IF(frame_units!E1193&lt;&gt;"",frame_units!E1193,NA())</f>
        <v/>
      </c>
      <c r="V1196">
        <f>IF(frame_units!E1193&lt;&gt;"",frame_units!F1193,NA())</f>
        <v/>
      </c>
    </row>
    <row r="1197">
      <c r="U1197">
        <f>IF(frame_units!E1194&lt;&gt;"",frame_units!E1194,NA())</f>
        <v/>
      </c>
      <c r="V1197">
        <f>IF(frame_units!E1194&lt;&gt;"",frame_units!F1194,NA())</f>
        <v/>
      </c>
    </row>
    <row r="1198">
      <c r="U1198">
        <f>IF(frame_units!E1195&lt;&gt;"",frame_units!E1195,NA())</f>
        <v/>
      </c>
      <c r="V1198">
        <f>IF(frame_units!E1195&lt;&gt;"",frame_units!F1195,NA())</f>
        <v/>
      </c>
    </row>
    <row r="1199">
      <c r="U1199">
        <f>IF(frame_units!E1196&lt;&gt;"",frame_units!E1196,NA())</f>
        <v/>
      </c>
      <c r="V1199">
        <f>IF(frame_units!E1196&lt;&gt;"",frame_units!F1196,NA())</f>
        <v/>
      </c>
    </row>
    <row r="1200">
      <c r="U1200">
        <f>IF(frame_units!E1197&lt;&gt;"",frame_units!E1197,NA())</f>
        <v/>
      </c>
      <c r="V1200">
        <f>IF(frame_units!E1197&lt;&gt;"",frame_units!F1197,NA())</f>
        <v/>
      </c>
    </row>
    <row r="1201">
      <c r="U1201">
        <f>IF(frame_units!E1198&lt;&gt;"",frame_units!E1198,NA())</f>
        <v/>
      </c>
      <c r="V1201">
        <f>IF(frame_units!E1198&lt;&gt;"",frame_units!F1198,NA())</f>
        <v/>
      </c>
    </row>
    <row r="1202">
      <c r="U1202">
        <f>IF(frame_units!E1199&lt;&gt;"",frame_units!E1199,NA())</f>
        <v/>
      </c>
      <c r="V1202">
        <f>IF(frame_units!E1199&lt;&gt;"",frame_units!F1199,NA())</f>
        <v/>
      </c>
    </row>
    <row r="1203">
      <c r="U1203">
        <f>IF(frame_units!E1200&lt;&gt;"",frame_units!E1200,NA())</f>
        <v/>
      </c>
      <c r="V1203">
        <f>IF(frame_units!E1200&lt;&gt;"",frame_units!F1200,NA())</f>
        <v/>
      </c>
    </row>
    <row r="1204">
      <c r="U1204">
        <f>IF(frame_units!E1201&lt;&gt;"",frame_units!E1201,NA())</f>
        <v/>
      </c>
      <c r="V1204">
        <f>IF(frame_units!E1201&lt;&gt;"",frame_units!F1201,NA())</f>
        <v/>
      </c>
    </row>
    <row r="1205">
      <c r="U1205">
        <f>IF(frame_units!E1202&lt;&gt;"",frame_units!E1202,NA())</f>
        <v/>
      </c>
      <c r="V1205">
        <f>IF(frame_units!E1202&lt;&gt;"",frame_units!F1202,NA())</f>
        <v/>
      </c>
    </row>
    <row r="1206">
      <c r="U1206">
        <f>IF(frame_units!E1203&lt;&gt;"",frame_units!E1203,NA())</f>
        <v/>
      </c>
      <c r="V1206">
        <f>IF(frame_units!E1203&lt;&gt;"",frame_units!F1203,NA())</f>
        <v/>
      </c>
    </row>
    <row r="1207">
      <c r="U1207">
        <f>IF(frame_units!E1204&lt;&gt;"",frame_units!E1204,NA())</f>
        <v/>
      </c>
      <c r="V1207">
        <f>IF(frame_units!E1204&lt;&gt;"",frame_units!F1204,NA())</f>
        <v/>
      </c>
    </row>
    <row r="1208">
      <c r="U1208">
        <f>IF(frame_units!E1205&lt;&gt;"",frame_units!E1205,NA())</f>
        <v/>
      </c>
      <c r="V1208">
        <f>IF(frame_units!E1205&lt;&gt;"",frame_units!F1205,NA())</f>
        <v/>
      </c>
    </row>
    <row r="1209">
      <c r="U1209">
        <f>IF(frame_units!E1206&lt;&gt;"",frame_units!E1206,NA())</f>
        <v/>
      </c>
      <c r="V1209">
        <f>IF(frame_units!E1206&lt;&gt;"",frame_units!F1206,NA())</f>
        <v/>
      </c>
    </row>
    <row r="1210">
      <c r="U1210">
        <f>IF(frame_units!E1207&lt;&gt;"",frame_units!E1207,NA())</f>
        <v/>
      </c>
      <c r="V1210">
        <f>IF(frame_units!E1207&lt;&gt;"",frame_units!F1207,NA())</f>
        <v/>
      </c>
    </row>
    <row r="1211">
      <c r="U1211">
        <f>IF(frame_units!E1208&lt;&gt;"",frame_units!E1208,NA())</f>
        <v/>
      </c>
      <c r="V1211">
        <f>IF(frame_units!E1208&lt;&gt;"",frame_units!F1208,NA())</f>
        <v/>
      </c>
    </row>
    <row r="1212">
      <c r="U1212">
        <f>IF(frame_units!E1209&lt;&gt;"",frame_units!E1209,NA())</f>
        <v/>
      </c>
      <c r="V1212">
        <f>IF(frame_units!E1209&lt;&gt;"",frame_units!F1209,NA())</f>
        <v/>
      </c>
    </row>
    <row r="1213">
      <c r="U1213">
        <f>IF(frame_units!E1210&lt;&gt;"",frame_units!E1210,NA())</f>
        <v/>
      </c>
      <c r="V1213">
        <f>IF(frame_units!E1210&lt;&gt;"",frame_units!F1210,NA())</f>
        <v/>
      </c>
    </row>
    <row r="1214">
      <c r="U1214">
        <f>IF(frame_units!E1211&lt;&gt;"",frame_units!E1211,NA())</f>
        <v/>
      </c>
      <c r="V1214">
        <f>IF(frame_units!E1211&lt;&gt;"",frame_units!F1211,NA())</f>
        <v/>
      </c>
    </row>
    <row r="1215">
      <c r="U1215">
        <f>IF(frame_units!E1212&lt;&gt;"",frame_units!E1212,NA())</f>
        <v/>
      </c>
      <c r="V1215">
        <f>IF(frame_units!E1212&lt;&gt;"",frame_units!F1212,NA())</f>
        <v/>
      </c>
    </row>
    <row r="1216">
      <c r="U1216">
        <f>IF(frame_units!E1213&lt;&gt;"",frame_units!E1213,NA())</f>
        <v/>
      </c>
      <c r="V1216">
        <f>IF(frame_units!E1213&lt;&gt;"",frame_units!F1213,NA())</f>
        <v/>
      </c>
    </row>
    <row r="1217">
      <c r="U1217">
        <f>IF(frame_units!E1214&lt;&gt;"",frame_units!E1214,NA())</f>
        <v/>
      </c>
      <c r="V1217">
        <f>IF(frame_units!E1214&lt;&gt;"",frame_units!F1214,NA())</f>
        <v/>
      </c>
    </row>
    <row r="1218">
      <c r="U1218">
        <f>IF(frame_units!E1215&lt;&gt;"",frame_units!E1215,NA())</f>
        <v/>
      </c>
      <c r="V1218">
        <f>IF(frame_units!E1215&lt;&gt;"",frame_units!F1215,NA())</f>
        <v/>
      </c>
    </row>
    <row r="1219">
      <c r="U1219">
        <f>IF(frame_units!E1216&lt;&gt;"",frame_units!E1216,NA())</f>
        <v/>
      </c>
      <c r="V1219">
        <f>IF(frame_units!E1216&lt;&gt;"",frame_units!F1216,NA())</f>
        <v/>
      </c>
    </row>
    <row r="1220">
      <c r="U1220">
        <f>IF(frame_units!E1217&lt;&gt;"",frame_units!E1217,NA())</f>
        <v/>
      </c>
      <c r="V1220">
        <f>IF(frame_units!E1217&lt;&gt;"",frame_units!F1217,NA())</f>
        <v/>
      </c>
    </row>
    <row r="1221">
      <c r="U1221">
        <f>IF(frame_units!E1218&lt;&gt;"",frame_units!E1218,NA())</f>
        <v/>
      </c>
      <c r="V1221">
        <f>IF(frame_units!E1218&lt;&gt;"",frame_units!F1218,NA())</f>
        <v/>
      </c>
    </row>
    <row r="1222">
      <c r="U1222">
        <f>IF(frame_units!E1219&lt;&gt;"",frame_units!E1219,NA())</f>
        <v/>
      </c>
      <c r="V1222">
        <f>IF(frame_units!E1219&lt;&gt;"",frame_units!F1219,NA())</f>
        <v/>
      </c>
    </row>
    <row r="1223">
      <c r="U1223">
        <f>IF(frame_units!E1220&lt;&gt;"",frame_units!E1220,NA())</f>
        <v/>
      </c>
      <c r="V1223">
        <f>IF(frame_units!E1220&lt;&gt;"",frame_units!F1220,NA())</f>
        <v/>
      </c>
    </row>
    <row r="1224">
      <c r="U1224">
        <f>IF(frame_units!E1221&lt;&gt;"",frame_units!E1221,NA())</f>
        <v/>
      </c>
      <c r="V1224">
        <f>IF(frame_units!E1221&lt;&gt;"",frame_units!F1221,NA())</f>
        <v/>
      </c>
    </row>
    <row r="1225">
      <c r="U1225">
        <f>IF(frame_units!E1222&lt;&gt;"",frame_units!E1222,NA())</f>
        <v/>
      </c>
      <c r="V1225">
        <f>IF(frame_units!E1222&lt;&gt;"",frame_units!F1222,NA())</f>
        <v/>
      </c>
    </row>
    <row r="1226">
      <c r="U1226">
        <f>IF(frame_units!E1223&lt;&gt;"",frame_units!E1223,NA())</f>
        <v/>
      </c>
      <c r="V1226">
        <f>IF(frame_units!E1223&lt;&gt;"",frame_units!F1223,NA())</f>
        <v/>
      </c>
    </row>
    <row r="1227">
      <c r="U1227">
        <f>IF(frame_units!E1224&lt;&gt;"",frame_units!E1224,NA())</f>
        <v/>
      </c>
      <c r="V1227">
        <f>IF(frame_units!E1224&lt;&gt;"",frame_units!F1224,NA())</f>
        <v/>
      </c>
    </row>
    <row r="1228">
      <c r="U1228">
        <f>IF(frame_units!E1225&lt;&gt;"",frame_units!E1225,NA())</f>
        <v/>
      </c>
      <c r="V1228">
        <f>IF(frame_units!E1225&lt;&gt;"",frame_units!F1225,NA())</f>
        <v/>
      </c>
    </row>
    <row r="1229">
      <c r="U1229">
        <f>IF(frame_units!E1226&lt;&gt;"",frame_units!E1226,NA())</f>
        <v/>
      </c>
      <c r="V1229">
        <f>IF(frame_units!E1226&lt;&gt;"",frame_units!F1226,NA())</f>
        <v/>
      </c>
    </row>
    <row r="1230">
      <c r="U1230">
        <f>IF(frame_units!E1227&lt;&gt;"",frame_units!E1227,NA())</f>
        <v/>
      </c>
      <c r="V1230">
        <f>IF(frame_units!E1227&lt;&gt;"",frame_units!F1227,NA())</f>
        <v/>
      </c>
    </row>
    <row r="1231">
      <c r="U1231">
        <f>IF(frame_units!E1228&lt;&gt;"",frame_units!E1228,NA())</f>
        <v/>
      </c>
      <c r="V1231">
        <f>IF(frame_units!E1228&lt;&gt;"",frame_units!F1228,NA())</f>
        <v/>
      </c>
    </row>
    <row r="1232">
      <c r="U1232">
        <f>IF(frame_units!E1229&lt;&gt;"",frame_units!E1229,NA())</f>
        <v/>
      </c>
      <c r="V1232">
        <f>IF(frame_units!E1229&lt;&gt;"",frame_units!F1229,NA())</f>
        <v/>
      </c>
    </row>
    <row r="1233">
      <c r="U1233">
        <f>IF(frame_units!E1230&lt;&gt;"",frame_units!E1230,NA())</f>
        <v/>
      </c>
      <c r="V1233">
        <f>IF(frame_units!E1230&lt;&gt;"",frame_units!F1230,NA())</f>
        <v/>
      </c>
    </row>
    <row r="1234">
      <c r="U1234">
        <f>IF(frame_units!E1231&lt;&gt;"",frame_units!E1231,NA())</f>
        <v/>
      </c>
      <c r="V1234">
        <f>IF(frame_units!E1231&lt;&gt;"",frame_units!F1231,NA())</f>
        <v/>
      </c>
    </row>
    <row r="1235">
      <c r="U1235">
        <f>IF(frame_units!E1232&lt;&gt;"",frame_units!E1232,NA())</f>
        <v/>
      </c>
      <c r="V1235">
        <f>IF(frame_units!E1232&lt;&gt;"",frame_units!F1232,NA())</f>
        <v/>
      </c>
    </row>
    <row r="1236">
      <c r="U1236">
        <f>IF(frame_units!E1233&lt;&gt;"",frame_units!E1233,NA())</f>
        <v/>
      </c>
      <c r="V1236">
        <f>IF(frame_units!E1233&lt;&gt;"",frame_units!F1233,NA())</f>
        <v/>
      </c>
    </row>
    <row r="1237">
      <c r="U1237">
        <f>IF(frame_units!E1234&lt;&gt;"",frame_units!E1234,NA())</f>
        <v/>
      </c>
      <c r="V1237">
        <f>IF(frame_units!E1234&lt;&gt;"",frame_units!F1234,NA())</f>
        <v/>
      </c>
    </row>
    <row r="1238">
      <c r="U1238">
        <f>IF(frame_units!E1235&lt;&gt;"",frame_units!E1235,NA())</f>
        <v/>
      </c>
      <c r="V1238">
        <f>IF(frame_units!E1235&lt;&gt;"",frame_units!F1235,NA())</f>
        <v/>
      </c>
    </row>
    <row r="1239">
      <c r="U1239">
        <f>IF(frame_units!E1236&lt;&gt;"",frame_units!E1236,NA())</f>
        <v/>
      </c>
      <c r="V1239">
        <f>IF(frame_units!E1236&lt;&gt;"",frame_units!F1236,NA())</f>
        <v/>
      </c>
    </row>
    <row r="1240">
      <c r="U1240">
        <f>IF(frame_units!E1237&lt;&gt;"",frame_units!E1237,NA())</f>
        <v/>
      </c>
      <c r="V1240">
        <f>IF(frame_units!E1237&lt;&gt;"",frame_units!F1237,NA())</f>
        <v/>
      </c>
    </row>
    <row r="1241">
      <c r="U1241">
        <f>IF(frame_units!E1238&lt;&gt;"",frame_units!E1238,NA())</f>
        <v/>
      </c>
      <c r="V1241">
        <f>IF(frame_units!E1238&lt;&gt;"",frame_units!F1238,NA())</f>
        <v/>
      </c>
    </row>
    <row r="1242">
      <c r="U1242">
        <f>IF(frame_units!E1239&lt;&gt;"",frame_units!E1239,NA())</f>
        <v/>
      </c>
      <c r="V1242">
        <f>IF(frame_units!E1239&lt;&gt;"",frame_units!F1239,NA())</f>
        <v/>
      </c>
    </row>
    <row r="1243">
      <c r="U1243">
        <f>IF(frame_units!E1240&lt;&gt;"",frame_units!E1240,NA())</f>
        <v/>
      </c>
      <c r="V1243">
        <f>IF(frame_units!E1240&lt;&gt;"",frame_units!F1240,NA())</f>
        <v/>
      </c>
    </row>
    <row r="1244">
      <c r="U1244">
        <f>IF(frame_units!E1241&lt;&gt;"",frame_units!E1241,NA())</f>
        <v/>
      </c>
      <c r="V1244">
        <f>IF(frame_units!E1241&lt;&gt;"",frame_units!F1241,NA())</f>
        <v/>
      </c>
    </row>
    <row r="1245">
      <c r="U1245">
        <f>IF(frame_units!E1242&lt;&gt;"",frame_units!E1242,NA())</f>
        <v/>
      </c>
      <c r="V1245">
        <f>IF(frame_units!E1242&lt;&gt;"",frame_units!F1242,NA())</f>
        <v/>
      </c>
    </row>
    <row r="1246">
      <c r="U1246">
        <f>IF(frame_units!E1243&lt;&gt;"",frame_units!E1243,NA())</f>
        <v/>
      </c>
      <c r="V1246">
        <f>IF(frame_units!E1243&lt;&gt;"",frame_units!F1243,NA())</f>
        <v/>
      </c>
    </row>
    <row r="1247">
      <c r="U1247">
        <f>IF(frame_units!E1244&lt;&gt;"",frame_units!E1244,NA())</f>
        <v/>
      </c>
      <c r="V1247">
        <f>IF(frame_units!E1244&lt;&gt;"",frame_units!F1244,NA())</f>
        <v/>
      </c>
    </row>
    <row r="1248">
      <c r="U1248">
        <f>IF(frame_units!E1245&lt;&gt;"",frame_units!E1245,NA())</f>
        <v/>
      </c>
      <c r="V1248">
        <f>IF(frame_units!E1245&lt;&gt;"",frame_units!F1245,NA())</f>
        <v/>
      </c>
    </row>
    <row r="1249">
      <c r="U1249">
        <f>IF(frame_units!E1246&lt;&gt;"",frame_units!E1246,NA())</f>
        <v/>
      </c>
      <c r="V1249">
        <f>IF(frame_units!E1246&lt;&gt;"",frame_units!F1246,NA())</f>
        <v/>
      </c>
    </row>
    <row r="1250">
      <c r="U1250">
        <f>IF(frame_units!E1247&lt;&gt;"",frame_units!E1247,NA())</f>
        <v/>
      </c>
      <c r="V1250">
        <f>IF(frame_units!E1247&lt;&gt;"",frame_units!F1247,NA())</f>
        <v/>
      </c>
    </row>
    <row r="1251">
      <c r="U1251">
        <f>IF(frame_units!E1248&lt;&gt;"",frame_units!E1248,NA())</f>
        <v/>
      </c>
      <c r="V1251">
        <f>IF(frame_units!E1248&lt;&gt;"",frame_units!F1248,NA())</f>
        <v/>
      </c>
    </row>
    <row r="1252">
      <c r="U1252">
        <f>IF(frame_units!E1249&lt;&gt;"",frame_units!E1249,NA())</f>
        <v/>
      </c>
      <c r="V1252">
        <f>IF(frame_units!E1249&lt;&gt;"",frame_units!F1249,NA())</f>
        <v/>
      </c>
    </row>
    <row r="1253">
      <c r="U1253">
        <f>IF(frame_units!E1250&lt;&gt;"",frame_units!E1250,NA())</f>
        <v/>
      </c>
      <c r="V1253">
        <f>IF(frame_units!E1250&lt;&gt;"",frame_units!F1250,NA())</f>
        <v/>
      </c>
    </row>
    <row r="1254">
      <c r="U1254">
        <f>IF(frame_units!E1251&lt;&gt;"",frame_units!E1251,NA())</f>
        <v/>
      </c>
      <c r="V1254">
        <f>IF(frame_units!E1251&lt;&gt;"",frame_units!F1251,NA())</f>
        <v/>
      </c>
    </row>
    <row r="1255">
      <c r="U1255">
        <f>IF(frame_units!E1252&lt;&gt;"",frame_units!E1252,NA())</f>
        <v/>
      </c>
      <c r="V1255">
        <f>IF(frame_units!E1252&lt;&gt;"",frame_units!F1252,NA())</f>
        <v/>
      </c>
    </row>
    <row r="1256">
      <c r="U1256">
        <f>IF(frame_units!E1253&lt;&gt;"",frame_units!E1253,NA())</f>
        <v/>
      </c>
      <c r="V1256">
        <f>IF(frame_units!E1253&lt;&gt;"",frame_units!F1253,NA())</f>
        <v/>
      </c>
    </row>
    <row r="1257">
      <c r="U1257">
        <f>IF(frame_units!E1254&lt;&gt;"",frame_units!E1254,NA())</f>
        <v/>
      </c>
      <c r="V1257">
        <f>IF(frame_units!E1254&lt;&gt;"",frame_units!F1254,NA())</f>
        <v/>
      </c>
    </row>
    <row r="1258">
      <c r="U1258">
        <f>IF(frame_units!E1255&lt;&gt;"",frame_units!E1255,NA())</f>
        <v/>
      </c>
      <c r="V1258">
        <f>IF(frame_units!E1255&lt;&gt;"",frame_units!F1255,NA())</f>
        <v/>
      </c>
    </row>
    <row r="1259">
      <c r="U1259">
        <f>IF(frame_units!E1256&lt;&gt;"",frame_units!E1256,NA())</f>
        <v/>
      </c>
      <c r="V1259">
        <f>IF(frame_units!E1256&lt;&gt;"",frame_units!F1256,NA())</f>
        <v/>
      </c>
    </row>
    <row r="1260">
      <c r="U1260">
        <f>IF(frame_units!E1257&lt;&gt;"",frame_units!E1257,NA())</f>
        <v/>
      </c>
      <c r="V1260">
        <f>IF(frame_units!E1257&lt;&gt;"",frame_units!F1257,NA())</f>
        <v/>
      </c>
    </row>
    <row r="1261">
      <c r="U1261">
        <f>IF(frame_units!E1258&lt;&gt;"",frame_units!E1258,NA())</f>
        <v/>
      </c>
      <c r="V1261">
        <f>IF(frame_units!E1258&lt;&gt;"",frame_units!F1258,NA())</f>
        <v/>
      </c>
    </row>
    <row r="1262">
      <c r="U1262">
        <f>IF(frame_units!E1259&lt;&gt;"",frame_units!E1259,NA())</f>
        <v/>
      </c>
      <c r="V1262">
        <f>IF(frame_units!E1259&lt;&gt;"",frame_units!F1259,NA())</f>
        <v/>
      </c>
    </row>
    <row r="1263">
      <c r="U1263">
        <f>IF(frame_units!E1260&lt;&gt;"",frame_units!E1260,NA())</f>
        <v/>
      </c>
      <c r="V1263">
        <f>IF(frame_units!E1260&lt;&gt;"",frame_units!F1260,NA())</f>
        <v/>
      </c>
    </row>
    <row r="1264">
      <c r="U1264">
        <f>IF(frame_units!E1261&lt;&gt;"",frame_units!E1261,NA())</f>
        <v/>
      </c>
      <c r="V1264">
        <f>IF(frame_units!E1261&lt;&gt;"",frame_units!F1261,NA())</f>
        <v/>
      </c>
    </row>
    <row r="1265">
      <c r="U1265">
        <f>IF(frame_units!E1262&lt;&gt;"",frame_units!E1262,NA())</f>
        <v/>
      </c>
      <c r="V1265">
        <f>IF(frame_units!E1262&lt;&gt;"",frame_units!F1262,NA())</f>
        <v/>
      </c>
    </row>
    <row r="1266">
      <c r="U1266">
        <f>IF(frame_units!E1263&lt;&gt;"",frame_units!E1263,NA())</f>
        <v/>
      </c>
      <c r="V1266">
        <f>IF(frame_units!E1263&lt;&gt;"",frame_units!F1263,NA())</f>
        <v/>
      </c>
    </row>
    <row r="1267">
      <c r="U1267">
        <f>IF(frame_units!E1264&lt;&gt;"",frame_units!E1264,NA())</f>
        <v/>
      </c>
      <c r="V1267">
        <f>IF(frame_units!E1264&lt;&gt;"",frame_units!F1264,NA())</f>
        <v/>
      </c>
    </row>
    <row r="1268">
      <c r="U1268">
        <f>IF(frame_units!E1265&lt;&gt;"",frame_units!E1265,NA())</f>
        <v/>
      </c>
      <c r="V1268">
        <f>IF(frame_units!E1265&lt;&gt;"",frame_units!F1265,NA())</f>
        <v/>
      </c>
    </row>
    <row r="1269">
      <c r="U1269">
        <f>IF(frame_units!E1266&lt;&gt;"",frame_units!E1266,NA())</f>
        <v/>
      </c>
      <c r="V1269">
        <f>IF(frame_units!E1266&lt;&gt;"",frame_units!F1266,NA())</f>
        <v/>
      </c>
    </row>
    <row r="1270">
      <c r="U1270">
        <f>IF(frame_units!E1267&lt;&gt;"",frame_units!E1267,NA())</f>
        <v/>
      </c>
      <c r="V1270">
        <f>IF(frame_units!E1267&lt;&gt;"",frame_units!F1267,NA())</f>
        <v/>
      </c>
    </row>
    <row r="1271">
      <c r="U1271">
        <f>IF(frame_units!E1268&lt;&gt;"",frame_units!E1268,NA())</f>
        <v/>
      </c>
      <c r="V1271">
        <f>IF(frame_units!E1268&lt;&gt;"",frame_units!F1268,NA())</f>
        <v/>
      </c>
    </row>
    <row r="1272">
      <c r="U1272">
        <f>IF(frame_units!E1269&lt;&gt;"",frame_units!E1269,NA())</f>
        <v/>
      </c>
      <c r="V1272">
        <f>IF(frame_units!E1269&lt;&gt;"",frame_units!F1269,NA())</f>
        <v/>
      </c>
    </row>
    <row r="1273">
      <c r="U1273">
        <f>IF(frame_units!E1270&lt;&gt;"",frame_units!E1270,NA())</f>
        <v/>
      </c>
      <c r="V1273">
        <f>IF(frame_units!E1270&lt;&gt;"",frame_units!F1270,NA())</f>
        <v/>
      </c>
    </row>
    <row r="1274">
      <c r="U1274">
        <f>IF(frame_units!E1271&lt;&gt;"",frame_units!E1271,NA())</f>
        <v/>
      </c>
      <c r="V1274">
        <f>IF(frame_units!E1271&lt;&gt;"",frame_units!F1271,NA())</f>
        <v/>
      </c>
    </row>
    <row r="1275">
      <c r="U1275">
        <f>IF(frame_units!E1272&lt;&gt;"",frame_units!E1272,NA())</f>
        <v/>
      </c>
      <c r="V1275">
        <f>IF(frame_units!E1272&lt;&gt;"",frame_units!F1272,NA())</f>
        <v/>
      </c>
    </row>
    <row r="1276">
      <c r="U1276">
        <f>IF(frame_units!E1273&lt;&gt;"",frame_units!E1273,NA())</f>
        <v/>
      </c>
      <c r="V1276">
        <f>IF(frame_units!E1273&lt;&gt;"",frame_units!F1273,NA())</f>
        <v/>
      </c>
    </row>
    <row r="1277">
      <c r="U1277">
        <f>IF(frame_units!E1274&lt;&gt;"",frame_units!E1274,NA())</f>
        <v/>
      </c>
      <c r="V1277">
        <f>IF(frame_units!E1274&lt;&gt;"",frame_units!F1274,NA())</f>
        <v/>
      </c>
    </row>
    <row r="1278">
      <c r="U1278">
        <f>IF(frame_units!E1275&lt;&gt;"",frame_units!E1275,NA())</f>
        <v/>
      </c>
      <c r="V1278">
        <f>IF(frame_units!E1275&lt;&gt;"",frame_units!F1275,NA())</f>
        <v/>
      </c>
    </row>
    <row r="1279">
      <c r="U1279">
        <f>IF(frame_units!E1276&lt;&gt;"",frame_units!E1276,NA())</f>
        <v/>
      </c>
      <c r="V1279">
        <f>IF(frame_units!E1276&lt;&gt;"",frame_units!F1276,NA())</f>
        <v/>
      </c>
    </row>
    <row r="1280">
      <c r="U1280">
        <f>IF(frame_units!E1277&lt;&gt;"",frame_units!E1277,NA())</f>
        <v/>
      </c>
      <c r="V1280">
        <f>IF(frame_units!E1277&lt;&gt;"",frame_units!F1277,NA())</f>
        <v/>
      </c>
    </row>
    <row r="1281">
      <c r="U1281">
        <f>IF(frame_units!E1278&lt;&gt;"",frame_units!E1278,NA())</f>
        <v/>
      </c>
      <c r="V1281">
        <f>IF(frame_units!E1278&lt;&gt;"",frame_units!F1278,NA())</f>
        <v/>
      </c>
    </row>
    <row r="1282">
      <c r="U1282">
        <f>IF(frame_units!E1279&lt;&gt;"",frame_units!E1279,NA())</f>
        <v/>
      </c>
      <c r="V1282">
        <f>IF(frame_units!E1279&lt;&gt;"",frame_units!F1279,NA())</f>
        <v/>
      </c>
    </row>
    <row r="1283">
      <c r="U1283">
        <f>IF(frame_units!E1280&lt;&gt;"",frame_units!E1280,NA())</f>
        <v/>
      </c>
      <c r="V1283">
        <f>IF(frame_units!E1280&lt;&gt;"",frame_units!F1280,NA())</f>
        <v/>
      </c>
    </row>
    <row r="1284">
      <c r="U1284">
        <f>IF(frame_units!E1281&lt;&gt;"",frame_units!E1281,NA())</f>
        <v/>
      </c>
      <c r="V1284">
        <f>IF(frame_units!E1281&lt;&gt;"",frame_units!F1281,NA())</f>
        <v/>
      </c>
    </row>
    <row r="1285">
      <c r="U1285">
        <f>IF(frame_units!E1282&lt;&gt;"",frame_units!E1282,NA())</f>
        <v/>
      </c>
      <c r="V1285">
        <f>IF(frame_units!E1282&lt;&gt;"",frame_units!F1282,NA())</f>
        <v/>
      </c>
    </row>
    <row r="1286">
      <c r="U1286">
        <f>IF(frame_units!E1283&lt;&gt;"",frame_units!E1283,NA())</f>
        <v/>
      </c>
      <c r="V1286">
        <f>IF(frame_units!E1283&lt;&gt;"",frame_units!F1283,NA())</f>
        <v/>
      </c>
    </row>
    <row r="1287">
      <c r="U1287">
        <f>IF(frame_units!E1284&lt;&gt;"",frame_units!E1284,NA())</f>
        <v/>
      </c>
      <c r="V1287">
        <f>IF(frame_units!E1284&lt;&gt;"",frame_units!F1284,NA())</f>
        <v/>
      </c>
    </row>
    <row r="1288">
      <c r="U1288">
        <f>IF(frame_units!E1285&lt;&gt;"",frame_units!E1285,NA())</f>
        <v/>
      </c>
      <c r="V1288">
        <f>IF(frame_units!E1285&lt;&gt;"",frame_units!F1285,NA())</f>
        <v/>
      </c>
    </row>
    <row r="1289">
      <c r="U1289">
        <f>IF(frame_units!E1286&lt;&gt;"",frame_units!E1286,NA())</f>
        <v/>
      </c>
      <c r="V1289">
        <f>IF(frame_units!E1286&lt;&gt;"",frame_units!F1286,NA())</f>
        <v/>
      </c>
    </row>
    <row r="1290">
      <c r="U1290">
        <f>IF(frame_units!E1287&lt;&gt;"",frame_units!E1287,NA())</f>
        <v/>
      </c>
      <c r="V1290">
        <f>IF(frame_units!E1287&lt;&gt;"",frame_units!F1287,NA())</f>
        <v/>
      </c>
    </row>
    <row r="1291">
      <c r="U1291">
        <f>IF(frame_units!E1288&lt;&gt;"",frame_units!E1288,NA())</f>
        <v/>
      </c>
      <c r="V1291">
        <f>IF(frame_units!E1288&lt;&gt;"",frame_units!F1288,NA())</f>
        <v/>
      </c>
    </row>
    <row r="1292">
      <c r="U1292">
        <f>IF(frame_units!E1289&lt;&gt;"",frame_units!E1289,NA())</f>
        <v/>
      </c>
      <c r="V1292">
        <f>IF(frame_units!E1289&lt;&gt;"",frame_units!F1289,NA())</f>
        <v/>
      </c>
    </row>
    <row r="1293">
      <c r="U1293">
        <f>IF(frame_units!E1290&lt;&gt;"",frame_units!E1290,NA())</f>
        <v/>
      </c>
      <c r="V1293">
        <f>IF(frame_units!E1290&lt;&gt;"",frame_units!F1290,NA())</f>
        <v/>
      </c>
    </row>
    <row r="1294">
      <c r="U1294">
        <f>IF(frame_units!E1291&lt;&gt;"",frame_units!E1291,NA())</f>
        <v/>
      </c>
      <c r="V1294">
        <f>IF(frame_units!E1291&lt;&gt;"",frame_units!F1291,NA())</f>
        <v/>
      </c>
    </row>
    <row r="1295">
      <c r="U1295">
        <f>IF(frame_units!E1292&lt;&gt;"",frame_units!E1292,NA())</f>
        <v/>
      </c>
      <c r="V1295">
        <f>IF(frame_units!E1292&lt;&gt;"",frame_units!F1292,NA())</f>
        <v/>
      </c>
    </row>
    <row r="1296">
      <c r="U1296">
        <f>IF(frame_units!E1293&lt;&gt;"",frame_units!E1293,NA())</f>
        <v/>
      </c>
      <c r="V1296">
        <f>IF(frame_units!E1293&lt;&gt;"",frame_units!F1293,NA())</f>
        <v/>
      </c>
    </row>
    <row r="1297">
      <c r="U1297">
        <f>IF(frame_units!E1294&lt;&gt;"",frame_units!E1294,NA())</f>
        <v/>
      </c>
      <c r="V1297">
        <f>IF(frame_units!E1294&lt;&gt;"",frame_units!F1294,NA())</f>
        <v/>
      </c>
    </row>
    <row r="1298">
      <c r="U1298">
        <f>IF(frame_units!E1295&lt;&gt;"",frame_units!E1295,NA())</f>
        <v/>
      </c>
      <c r="V1298">
        <f>IF(frame_units!E1295&lt;&gt;"",frame_units!F1295,NA())</f>
        <v/>
      </c>
    </row>
    <row r="1299">
      <c r="U1299">
        <f>IF(frame_units!E1296&lt;&gt;"",frame_units!E1296,NA())</f>
        <v/>
      </c>
      <c r="V1299">
        <f>IF(frame_units!E1296&lt;&gt;"",frame_units!F1296,NA())</f>
        <v/>
      </c>
    </row>
    <row r="1300">
      <c r="U1300">
        <f>IF(frame_units!E1297&lt;&gt;"",frame_units!E1297,NA())</f>
        <v/>
      </c>
      <c r="V1300">
        <f>IF(frame_units!E1297&lt;&gt;"",frame_units!F1297,NA())</f>
        <v/>
      </c>
    </row>
    <row r="1301">
      <c r="U1301">
        <f>IF(frame_units!E1298&lt;&gt;"",frame_units!E1298,NA())</f>
        <v/>
      </c>
      <c r="V1301">
        <f>IF(frame_units!E1298&lt;&gt;"",frame_units!F1298,NA())</f>
        <v/>
      </c>
    </row>
    <row r="1302">
      <c r="U1302">
        <f>IF(frame_units!E1299&lt;&gt;"",frame_units!E1299,NA())</f>
        <v/>
      </c>
      <c r="V1302">
        <f>IF(frame_units!E1299&lt;&gt;"",frame_units!F1299,NA())</f>
        <v/>
      </c>
    </row>
    <row r="1303">
      <c r="U1303">
        <f>IF(frame_units!E1300&lt;&gt;"",frame_units!E1300,NA())</f>
        <v/>
      </c>
      <c r="V1303">
        <f>IF(frame_units!E1300&lt;&gt;"",frame_units!F1300,NA())</f>
        <v/>
      </c>
    </row>
    <row r="1304">
      <c r="U1304">
        <f>IF(frame_units!E1301&lt;&gt;"",frame_units!E1301,NA())</f>
        <v/>
      </c>
      <c r="V1304">
        <f>IF(frame_units!E1301&lt;&gt;"",frame_units!F1301,NA())</f>
        <v/>
      </c>
    </row>
    <row r="1305">
      <c r="U1305">
        <f>IF(frame_units!E1302&lt;&gt;"",frame_units!E1302,NA())</f>
        <v/>
      </c>
      <c r="V1305">
        <f>IF(frame_units!E1302&lt;&gt;"",frame_units!F1302,NA())</f>
        <v/>
      </c>
    </row>
    <row r="1306">
      <c r="U1306">
        <f>IF(frame_units!E1303&lt;&gt;"",frame_units!E1303,NA())</f>
        <v/>
      </c>
      <c r="V1306">
        <f>IF(frame_units!E1303&lt;&gt;"",frame_units!F1303,NA())</f>
        <v/>
      </c>
    </row>
    <row r="1307">
      <c r="U1307">
        <f>IF(frame_units!E1304&lt;&gt;"",frame_units!E1304,NA())</f>
        <v/>
      </c>
      <c r="V1307">
        <f>IF(frame_units!E1304&lt;&gt;"",frame_units!F1304,NA())</f>
        <v/>
      </c>
    </row>
    <row r="1308">
      <c r="U1308">
        <f>IF(frame_units!E1305&lt;&gt;"",frame_units!E1305,NA())</f>
        <v/>
      </c>
      <c r="V1308">
        <f>IF(frame_units!E1305&lt;&gt;"",frame_units!F1305,NA())</f>
        <v/>
      </c>
    </row>
    <row r="1309">
      <c r="U1309">
        <f>IF(frame_units!E1306&lt;&gt;"",frame_units!E1306,NA())</f>
        <v/>
      </c>
      <c r="V1309">
        <f>IF(frame_units!E1306&lt;&gt;"",frame_units!F1306,NA())</f>
        <v/>
      </c>
    </row>
    <row r="1310">
      <c r="U1310">
        <f>IF(frame_units!E1307&lt;&gt;"",frame_units!E1307,NA())</f>
        <v/>
      </c>
      <c r="V1310">
        <f>IF(frame_units!E1307&lt;&gt;"",frame_units!F1307,NA())</f>
        <v/>
      </c>
    </row>
    <row r="1311">
      <c r="U1311">
        <f>IF(frame_units!E1308&lt;&gt;"",frame_units!E1308,NA())</f>
        <v/>
      </c>
      <c r="V1311">
        <f>IF(frame_units!E1308&lt;&gt;"",frame_units!F1308,NA())</f>
        <v/>
      </c>
    </row>
    <row r="1312">
      <c r="U1312">
        <f>IF(frame_units!E1309&lt;&gt;"",frame_units!E1309,NA())</f>
        <v/>
      </c>
      <c r="V1312">
        <f>IF(frame_units!E1309&lt;&gt;"",frame_units!F1309,NA())</f>
        <v/>
      </c>
    </row>
    <row r="1313">
      <c r="U1313">
        <f>IF(frame_units!E1310&lt;&gt;"",frame_units!E1310,NA())</f>
        <v/>
      </c>
      <c r="V1313">
        <f>IF(frame_units!E1310&lt;&gt;"",frame_units!F1310,NA())</f>
        <v/>
      </c>
    </row>
    <row r="1314">
      <c r="U1314">
        <f>IF(frame_units!E1311&lt;&gt;"",frame_units!E1311,NA())</f>
        <v/>
      </c>
      <c r="V1314">
        <f>IF(frame_units!E1311&lt;&gt;"",frame_units!F1311,NA())</f>
        <v/>
      </c>
    </row>
    <row r="1315">
      <c r="U1315">
        <f>IF(frame_units!E1312&lt;&gt;"",frame_units!E1312,NA())</f>
        <v/>
      </c>
      <c r="V1315">
        <f>IF(frame_units!E1312&lt;&gt;"",frame_units!F1312,NA())</f>
        <v/>
      </c>
    </row>
    <row r="1316">
      <c r="U1316">
        <f>IF(frame_units!E1313&lt;&gt;"",frame_units!E1313,NA())</f>
        <v/>
      </c>
      <c r="V1316">
        <f>IF(frame_units!E1313&lt;&gt;"",frame_units!F1313,NA())</f>
        <v/>
      </c>
    </row>
    <row r="1317">
      <c r="U1317">
        <f>IF(frame_units!E1314&lt;&gt;"",frame_units!E1314,NA())</f>
        <v/>
      </c>
      <c r="V1317">
        <f>IF(frame_units!E1314&lt;&gt;"",frame_units!F1314,NA())</f>
        <v/>
      </c>
    </row>
    <row r="1318">
      <c r="U1318">
        <f>IF(frame_units!E1315&lt;&gt;"",frame_units!E1315,NA())</f>
        <v/>
      </c>
      <c r="V1318">
        <f>IF(frame_units!E1315&lt;&gt;"",frame_units!F1315,NA())</f>
        <v/>
      </c>
    </row>
    <row r="1319">
      <c r="U1319">
        <f>IF(frame_units!E1316&lt;&gt;"",frame_units!E1316,NA())</f>
        <v/>
      </c>
      <c r="V1319">
        <f>IF(frame_units!E1316&lt;&gt;"",frame_units!F1316,NA())</f>
        <v/>
      </c>
    </row>
    <row r="1320">
      <c r="U1320">
        <f>IF(frame_units!E1317&lt;&gt;"",frame_units!E1317,NA())</f>
        <v/>
      </c>
      <c r="V1320">
        <f>IF(frame_units!E1317&lt;&gt;"",frame_units!F1317,NA())</f>
        <v/>
      </c>
    </row>
    <row r="1321">
      <c r="U1321">
        <f>IF(frame_units!E1318&lt;&gt;"",frame_units!E1318,NA())</f>
        <v/>
      </c>
      <c r="V1321">
        <f>IF(frame_units!E1318&lt;&gt;"",frame_units!F1318,NA())</f>
        <v/>
      </c>
    </row>
    <row r="1322">
      <c r="U1322">
        <f>IF(frame_units!E1319&lt;&gt;"",frame_units!E1319,NA())</f>
        <v/>
      </c>
      <c r="V1322">
        <f>IF(frame_units!E1319&lt;&gt;"",frame_units!F1319,NA())</f>
        <v/>
      </c>
    </row>
    <row r="1323">
      <c r="U1323">
        <f>IF(frame_units!E1320&lt;&gt;"",frame_units!E1320,NA())</f>
        <v/>
      </c>
      <c r="V1323">
        <f>IF(frame_units!E1320&lt;&gt;"",frame_units!F1320,NA())</f>
        <v/>
      </c>
    </row>
    <row r="1324">
      <c r="U1324">
        <f>IF(frame_units!E1321&lt;&gt;"",frame_units!E1321,NA())</f>
        <v/>
      </c>
      <c r="V1324">
        <f>IF(frame_units!E1321&lt;&gt;"",frame_units!F1321,NA())</f>
        <v/>
      </c>
    </row>
    <row r="1325">
      <c r="U1325">
        <f>IF(frame_units!E1322&lt;&gt;"",frame_units!E1322,NA())</f>
        <v/>
      </c>
      <c r="V1325">
        <f>IF(frame_units!E1322&lt;&gt;"",frame_units!F1322,NA())</f>
        <v/>
      </c>
    </row>
    <row r="1326">
      <c r="U1326">
        <f>IF(frame_units!E1323&lt;&gt;"",frame_units!E1323,NA())</f>
        <v/>
      </c>
      <c r="V1326">
        <f>IF(frame_units!E1323&lt;&gt;"",frame_units!F1323,NA())</f>
        <v/>
      </c>
    </row>
    <row r="1327">
      <c r="U1327">
        <f>IF(frame_units!E1324&lt;&gt;"",frame_units!E1324,NA())</f>
        <v/>
      </c>
      <c r="V1327">
        <f>IF(frame_units!E1324&lt;&gt;"",frame_units!F1324,NA())</f>
        <v/>
      </c>
    </row>
    <row r="1328">
      <c r="U1328">
        <f>IF(frame_units!E1325&lt;&gt;"",frame_units!E1325,NA())</f>
        <v/>
      </c>
      <c r="V1328">
        <f>IF(frame_units!E1325&lt;&gt;"",frame_units!F1325,NA())</f>
        <v/>
      </c>
    </row>
    <row r="1329">
      <c r="U1329">
        <f>IF(frame_units!E1326&lt;&gt;"",frame_units!E1326,NA())</f>
        <v/>
      </c>
      <c r="V1329">
        <f>IF(frame_units!E1326&lt;&gt;"",frame_units!F1326,NA())</f>
        <v/>
      </c>
    </row>
    <row r="1330">
      <c r="U1330">
        <f>IF(frame_units!E1327&lt;&gt;"",frame_units!E1327,NA())</f>
        <v/>
      </c>
      <c r="V1330">
        <f>IF(frame_units!E1327&lt;&gt;"",frame_units!F1327,NA())</f>
        <v/>
      </c>
    </row>
    <row r="1331">
      <c r="U1331">
        <f>IF(frame_units!E1328&lt;&gt;"",frame_units!E1328,NA())</f>
        <v/>
      </c>
      <c r="V1331">
        <f>IF(frame_units!E1328&lt;&gt;"",frame_units!F1328,NA())</f>
        <v/>
      </c>
    </row>
    <row r="1332">
      <c r="U1332">
        <f>IF(frame_units!E1329&lt;&gt;"",frame_units!E1329,NA())</f>
        <v/>
      </c>
      <c r="V1332">
        <f>IF(frame_units!E1329&lt;&gt;"",frame_units!F1329,NA())</f>
        <v/>
      </c>
    </row>
    <row r="1333">
      <c r="U1333">
        <f>IF(frame_units!E1330&lt;&gt;"",frame_units!E1330,NA())</f>
        <v/>
      </c>
      <c r="V1333">
        <f>IF(frame_units!E1330&lt;&gt;"",frame_units!F1330,NA())</f>
        <v/>
      </c>
    </row>
    <row r="1334">
      <c r="U1334">
        <f>IF(frame_units!E1331&lt;&gt;"",frame_units!E1331,NA())</f>
        <v/>
      </c>
      <c r="V1334">
        <f>IF(frame_units!E1331&lt;&gt;"",frame_units!F1331,NA())</f>
        <v/>
      </c>
    </row>
    <row r="1335">
      <c r="U1335">
        <f>IF(frame_units!E1332&lt;&gt;"",frame_units!E1332,NA())</f>
        <v/>
      </c>
      <c r="V1335">
        <f>IF(frame_units!E1332&lt;&gt;"",frame_units!F1332,NA())</f>
        <v/>
      </c>
    </row>
    <row r="1336">
      <c r="U1336">
        <f>IF(frame_units!E1333&lt;&gt;"",frame_units!E1333,NA())</f>
        <v/>
      </c>
      <c r="V1336">
        <f>IF(frame_units!E1333&lt;&gt;"",frame_units!F1333,NA())</f>
        <v/>
      </c>
    </row>
    <row r="1337">
      <c r="U1337">
        <f>IF(frame_units!E1334&lt;&gt;"",frame_units!E1334,NA())</f>
        <v/>
      </c>
      <c r="V1337">
        <f>IF(frame_units!E1334&lt;&gt;"",frame_units!F1334,NA())</f>
        <v/>
      </c>
    </row>
    <row r="1338">
      <c r="U1338">
        <f>IF(frame_units!E1335&lt;&gt;"",frame_units!E1335,NA())</f>
        <v/>
      </c>
      <c r="V1338">
        <f>IF(frame_units!E1335&lt;&gt;"",frame_units!F1335,NA())</f>
        <v/>
      </c>
    </row>
    <row r="1339">
      <c r="U1339">
        <f>IF(frame_units!E1336&lt;&gt;"",frame_units!E1336,NA())</f>
        <v/>
      </c>
      <c r="V1339">
        <f>IF(frame_units!E1336&lt;&gt;"",frame_units!F1336,NA())</f>
        <v/>
      </c>
    </row>
    <row r="1340">
      <c r="U1340">
        <f>IF(frame_units!E1337&lt;&gt;"",frame_units!E1337,NA())</f>
        <v/>
      </c>
      <c r="V1340">
        <f>IF(frame_units!E1337&lt;&gt;"",frame_units!F1337,NA())</f>
        <v/>
      </c>
    </row>
    <row r="1341">
      <c r="U1341">
        <f>IF(frame_units!E1338&lt;&gt;"",frame_units!E1338,NA())</f>
        <v/>
      </c>
      <c r="V1341">
        <f>IF(frame_units!E1338&lt;&gt;"",frame_units!F1338,NA())</f>
        <v/>
      </c>
    </row>
    <row r="1342">
      <c r="U1342">
        <f>IF(frame_units!E1339&lt;&gt;"",frame_units!E1339,NA())</f>
        <v/>
      </c>
      <c r="V1342">
        <f>IF(frame_units!E1339&lt;&gt;"",frame_units!F1339,NA())</f>
        <v/>
      </c>
    </row>
    <row r="1343">
      <c r="U1343">
        <f>IF(frame_units!E1340&lt;&gt;"",frame_units!E1340,NA())</f>
        <v/>
      </c>
      <c r="V1343">
        <f>IF(frame_units!E1340&lt;&gt;"",frame_units!F1340,NA())</f>
        <v/>
      </c>
    </row>
    <row r="1344">
      <c r="U1344">
        <f>IF(frame_units!E1341&lt;&gt;"",frame_units!E1341,NA())</f>
        <v/>
      </c>
      <c r="V1344">
        <f>IF(frame_units!E1341&lt;&gt;"",frame_units!F1341,NA())</f>
        <v/>
      </c>
    </row>
    <row r="1345">
      <c r="U1345">
        <f>IF(frame_units!E1342&lt;&gt;"",frame_units!E1342,NA())</f>
        <v/>
      </c>
      <c r="V1345">
        <f>IF(frame_units!E1342&lt;&gt;"",frame_units!F1342,NA())</f>
        <v/>
      </c>
    </row>
    <row r="1346">
      <c r="U1346">
        <f>IF(frame_units!E1343&lt;&gt;"",frame_units!E1343,NA())</f>
        <v/>
      </c>
      <c r="V1346">
        <f>IF(frame_units!E1343&lt;&gt;"",frame_units!F1343,NA())</f>
        <v/>
      </c>
    </row>
    <row r="1347">
      <c r="U1347">
        <f>IF(frame_units!E1344&lt;&gt;"",frame_units!E1344,NA())</f>
        <v/>
      </c>
      <c r="V1347">
        <f>IF(frame_units!E1344&lt;&gt;"",frame_units!F1344,NA())</f>
        <v/>
      </c>
    </row>
    <row r="1348">
      <c r="U1348">
        <f>IF(frame_units!E1345&lt;&gt;"",frame_units!E1345,NA())</f>
        <v/>
      </c>
      <c r="V1348">
        <f>IF(frame_units!E1345&lt;&gt;"",frame_units!F1345,NA())</f>
        <v/>
      </c>
    </row>
    <row r="1349">
      <c r="U1349">
        <f>IF(frame_units!E1346&lt;&gt;"",frame_units!E1346,NA())</f>
        <v/>
      </c>
      <c r="V1349">
        <f>IF(frame_units!E1346&lt;&gt;"",frame_units!F1346,NA())</f>
        <v/>
      </c>
    </row>
    <row r="1350">
      <c r="U1350">
        <f>IF(frame_units!E1347&lt;&gt;"",frame_units!E1347,NA())</f>
        <v/>
      </c>
      <c r="V1350">
        <f>IF(frame_units!E1347&lt;&gt;"",frame_units!F1347,NA())</f>
        <v/>
      </c>
    </row>
    <row r="1351">
      <c r="U1351">
        <f>IF(frame_units!E1348&lt;&gt;"",frame_units!E1348,NA())</f>
        <v/>
      </c>
      <c r="V1351">
        <f>IF(frame_units!E1348&lt;&gt;"",frame_units!F1348,NA())</f>
        <v/>
      </c>
    </row>
    <row r="1352">
      <c r="U1352">
        <f>IF(frame_units!E1349&lt;&gt;"",frame_units!E1349,NA())</f>
        <v/>
      </c>
      <c r="V1352">
        <f>IF(frame_units!E1349&lt;&gt;"",frame_units!F1349,NA())</f>
        <v/>
      </c>
    </row>
    <row r="1353">
      <c r="U1353">
        <f>IF(frame_units!E1350&lt;&gt;"",frame_units!E1350,NA())</f>
        <v/>
      </c>
      <c r="V1353">
        <f>IF(frame_units!E1350&lt;&gt;"",frame_units!F1350,NA())</f>
        <v/>
      </c>
    </row>
    <row r="1354">
      <c r="U1354">
        <f>IF(frame_units!E1351&lt;&gt;"",frame_units!E1351,NA())</f>
        <v/>
      </c>
      <c r="V1354">
        <f>IF(frame_units!E1351&lt;&gt;"",frame_units!F1351,NA())</f>
        <v/>
      </c>
    </row>
    <row r="1355">
      <c r="U1355">
        <f>IF(frame_units!E1352&lt;&gt;"",frame_units!E1352,NA())</f>
        <v/>
      </c>
      <c r="V1355">
        <f>IF(frame_units!E1352&lt;&gt;"",frame_units!F1352,NA())</f>
        <v/>
      </c>
    </row>
    <row r="1356">
      <c r="U1356">
        <f>IF(frame_units!E1353&lt;&gt;"",frame_units!E1353,NA())</f>
        <v/>
      </c>
      <c r="V1356">
        <f>IF(frame_units!E1353&lt;&gt;"",frame_units!F1353,NA())</f>
        <v/>
      </c>
    </row>
    <row r="1357">
      <c r="U1357">
        <f>IF(frame_units!E1354&lt;&gt;"",frame_units!E1354,NA())</f>
        <v/>
      </c>
      <c r="V1357">
        <f>IF(frame_units!E1354&lt;&gt;"",frame_units!F1354,NA())</f>
        <v/>
      </c>
    </row>
    <row r="1358">
      <c r="U1358">
        <f>IF(frame_units!E1355&lt;&gt;"",frame_units!E1355,NA())</f>
        <v/>
      </c>
      <c r="V1358">
        <f>IF(frame_units!E1355&lt;&gt;"",frame_units!F1355,NA())</f>
        <v/>
      </c>
    </row>
    <row r="1359">
      <c r="U1359">
        <f>IF(frame_units!E1356&lt;&gt;"",frame_units!E1356,NA())</f>
        <v/>
      </c>
      <c r="V1359">
        <f>IF(frame_units!E1356&lt;&gt;"",frame_units!F1356,NA())</f>
        <v/>
      </c>
    </row>
    <row r="1360">
      <c r="U1360">
        <f>IF(frame_units!E1357&lt;&gt;"",frame_units!E1357,NA())</f>
        <v/>
      </c>
      <c r="V1360">
        <f>IF(frame_units!E1357&lt;&gt;"",frame_units!F1357,NA())</f>
        <v/>
      </c>
    </row>
    <row r="1361">
      <c r="U1361">
        <f>IF(frame_units!E1358&lt;&gt;"",frame_units!E1358,NA())</f>
        <v/>
      </c>
      <c r="V1361">
        <f>IF(frame_units!E1358&lt;&gt;"",frame_units!F1358,NA())</f>
        <v/>
      </c>
    </row>
    <row r="1362">
      <c r="U1362">
        <f>IF(frame_units!E1359&lt;&gt;"",frame_units!E1359,NA())</f>
        <v/>
      </c>
      <c r="V1362">
        <f>IF(frame_units!E1359&lt;&gt;"",frame_units!F1359,NA())</f>
        <v/>
      </c>
    </row>
    <row r="1363">
      <c r="U1363">
        <f>IF(frame_units!E1360&lt;&gt;"",frame_units!E1360,NA())</f>
        <v/>
      </c>
      <c r="V1363">
        <f>IF(frame_units!E1360&lt;&gt;"",frame_units!F1360,NA())</f>
        <v/>
      </c>
    </row>
    <row r="1364">
      <c r="U1364">
        <f>IF(frame_units!E1361&lt;&gt;"",frame_units!E1361,NA())</f>
        <v/>
      </c>
      <c r="V1364">
        <f>IF(frame_units!E1361&lt;&gt;"",frame_units!F1361,NA())</f>
        <v/>
      </c>
    </row>
    <row r="1365">
      <c r="U1365">
        <f>IF(frame_units!E1362&lt;&gt;"",frame_units!E1362,NA())</f>
        <v/>
      </c>
      <c r="V1365">
        <f>IF(frame_units!E1362&lt;&gt;"",frame_units!F1362,NA())</f>
        <v/>
      </c>
    </row>
    <row r="1366">
      <c r="U1366">
        <f>IF(frame_units!E1363&lt;&gt;"",frame_units!E1363,NA())</f>
        <v/>
      </c>
      <c r="V1366">
        <f>IF(frame_units!E1363&lt;&gt;"",frame_units!F1363,NA())</f>
        <v/>
      </c>
    </row>
    <row r="1367">
      <c r="U1367">
        <f>IF(frame_units!E1364&lt;&gt;"",frame_units!E1364,NA())</f>
        <v/>
      </c>
      <c r="V1367">
        <f>IF(frame_units!E1364&lt;&gt;"",frame_units!F1364,NA())</f>
        <v/>
      </c>
    </row>
    <row r="1368">
      <c r="U1368">
        <f>IF(frame_units!E1365&lt;&gt;"",frame_units!E1365,NA())</f>
        <v/>
      </c>
      <c r="V1368">
        <f>IF(frame_units!E1365&lt;&gt;"",frame_units!F1365,NA())</f>
        <v/>
      </c>
    </row>
    <row r="1369">
      <c r="U1369">
        <f>IF(frame_units!E1366&lt;&gt;"",frame_units!E1366,NA())</f>
        <v/>
      </c>
      <c r="V1369">
        <f>IF(frame_units!E1366&lt;&gt;"",frame_units!F1366,NA())</f>
        <v/>
      </c>
    </row>
    <row r="1370">
      <c r="U1370">
        <f>IF(frame_units!E1367&lt;&gt;"",frame_units!E1367,NA())</f>
        <v/>
      </c>
      <c r="V1370">
        <f>IF(frame_units!E1367&lt;&gt;"",frame_units!F1367,NA())</f>
        <v/>
      </c>
    </row>
    <row r="1371">
      <c r="U1371">
        <f>IF(frame_units!E1368&lt;&gt;"",frame_units!E1368,NA())</f>
        <v/>
      </c>
      <c r="V1371">
        <f>IF(frame_units!E1368&lt;&gt;"",frame_units!F1368,NA())</f>
        <v/>
      </c>
    </row>
    <row r="1372">
      <c r="U1372">
        <f>IF(frame_units!E1369&lt;&gt;"",frame_units!E1369,NA())</f>
        <v/>
      </c>
      <c r="V1372">
        <f>IF(frame_units!E1369&lt;&gt;"",frame_units!F1369,NA())</f>
        <v/>
      </c>
    </row>
    <row r="1373">
      <c r="U1373">
        <f>IF(frame_units!E1370&lt;&gt;"",frame_units!E1370,NA())</f>
        <v/>
      </c>
      <c r="V1373">
        <f>IF(frame_units!E1370&lt;&gt;"",frame_units!F1370,NA())</f>
        <v/>
      </c>
    </row>
    <row r="1374">
      <c r="U1374">
        <f>IF(frame_units!E1371&lt;&gt;"",frame_units!E1371,NA())</f>
        <v/>
      </c>
      <c r="V1374">
        <f>IF(frame_units!E1371&lt;&gt;"",frame_units!F1371,NA())</f>
        <v/>
      </c>
    </row>
    <row r="1375">
      <c r="U1375">
        <f>IF(frame_units!E1372&lt;&gt;"",frame_units!E1372,NA())</f>
        <v/>
      </c>
      <c r="V1375">
        <f>IF(frame_units!E1372&lt;&gt;"",frame_units!F1372,NA())</f>
        <v/>
      </c>
    </row>
    <row r="1376">
      <c r="U1376">
        <f>IF(frame_units!E1373&lt;&gt;"",frame_units!E1373,NA())</f>
        <v/>
      </c>
      <c r="V1376">
        <f>IF(frame_units!E1373&lt;&gt;"",frame_units!F1373,NA())</f>
        <v/>
      </c>
    </row>
    <row r="1377">
      <c r="U1377">
        <f>IF(frame_units!E1374&lt;&gt;"",frame_units!E1374,NA())</f>
        <v/>
      </c>
      <c r="V1377">
        <f>IF(frame_units!E1374&lt;&gt;"",frame_units!F1374,NA())</f>
        <v/>
      </c>
    </row>
    <row r="1378">
      <c r="U1378">
        <f>IF(frame_units!E1375&lt;&gt;"",frame_units!E1375,NA())</f>
        <v/>
      </c>
      <c r="V1378">
        <f>IF(frame_units!E1375&lt;&gt;"",frame_units!F1375,NA())</f>
        <v/>
      </c>
    </row>
    <row r="1379">
      <c r="U1379">
        <f>IF(frame_units!E1376&lt;&gt;"",frame_units!E1376,NA())</f>
        <v/>
      </c>
      <c r="V1379">
        <f>IF(frame_units!E1376&lt;&gt;"",frame_units!F1376,NA())</f>
        <v/>
      </c>
    </row>
    <row r="1380">
      <c r="U1380">
        <f>IF(frame_units!E1377&lt;&gt;"",frame_units!E1377,NA())</f>
        <v/>
      </c>
      <c r="V1380">
        <f>IF(frame_units!E1377&lt;&gt;"",frame_units!F1377,NA())</f>
        <v/>
      </c>
    </row>
    <row r="1381">
      <c r="U1381">
        <f>IF(frame_units!E1378&lt;&gt;"",frame_units!E1378,NA())</f>
        <v/>
      </c>
      <c r="V1381">
        <f>IF(frame_units!E1378&lt;&gt;"",frame_units!F1378,NA())</f>
        <v/>
      </c>
    </row>
    <row r="1382">
      <c r="U1382">
        <f>IF(frame_units!E1379&lt;&gt;"",frame_units!E1379,NA())</f>
        <v/>
      </c>
      <c r="V1382">
        <f>IF(frame_units!E1379&lt;&gt;"",frame_units!F1379,NA())</f>
        <v/>
      </c>
    </row>
    <row r="1383">
      <c r="U1383">
        <f>IF(frame_units!E1380&lt;&gt;"",frame_units!E1380,NA())</f>
        <v/>
      </c>
      <c r="V1383">
        <f>IF(frame_units!E1380&lt;&gt;"",frame_units!F1380,NA())</f>
        <v/>
      </c>
    </row>
    <row r="1384">
      <c r="U1384">
        <f>IF(frame_units!E1381&lt;&gt;"",frame_units!E1381,NA())</f>
        <v/>
      </c>
      <c r="V1384">
        <f>IF(frame_units!E1381&lt;&gt;"",frame_units!F1381,NA())</f>
        <v/>
      </c>
    </row>
    <row r="1385">
      <c r="U1385">
        <f>IF(frame_units!E1382&lt;&gt;"",frame_units!E1382,NA())</f>
        <v/>
      </c>
      <c r="V1385">
        <f>IF(frame_units!E1382&lt;&gt;"",frame_units!F1382,NA())</f>
        <v/>
      </c>
    </row>
    <row r="1386">
      <c r="U1386">
        <f>IF(frame_units!E1383&lt;&gt;"",frame_units!E1383,NA())</f>
        <v/>
      </c>
      <c r="V1386">
        <f>IF(frame_units!E1383&lt;&gt;"",frame_units!F1383,NA())</f>
        <v/>
      </c>
    </row>
    <row r="1387">
      <c r="U1387">
        <f>IF(frame_units!E1384&lt;&gt;"",frame_units!E1384,NA())</f>
        <v/>
      </c>
      <c r="V1387">
        <f>IF(frame_units!E1384&lt;&gt;"",frame_units!F1384,NA())</f>
        <v/>
      </c>
    </row>
    <row r="1388">
      <c r="U1388">
        <f>IF(frame_units!E1385&lt;&gt;"",frame_units!E1385,NA())</f>
        <v/>
      </c>
      <c r="V1388">
        <f>IF(frame_units!E1385&lt;&gt;"",frame_units!F1385,NA())</f>
        <v/>
      </c>
    </row>
    <row r="1389">
      <c r="U1389">
        <f>IF(frame_units!E1386&lt;&gt;"",frame_units!E1386,NA())</f>
        <v/>
      </c>
      <c r="V1389">
        <f>IF(frame_units!E1386&lt;&gt;"",frame_units!F1386,NA())</f>
        <v/>
      </c>
    </row>
    <row r="1390">
      <c r="U1390">
        <f>IF(frame_units!E1387&lt;&gt;"",frame_units!E1387,NA())</f>
        <v/>
      </c>
      <c r="V1390">
        <f>IF(frame_units!E1387&lt;&gt;"",frame_units!F1387,NA())</f>
        <v/>
      </c>
    </row>
    <row r="1391">
      <c r="U1391">
        <f>IF(frame_units!E1388&lt;&gt;"",frame_units!E1388,NA())</f>
        <v/>
      </c>
      <c r="V1391">
        <f>IF(frame_units!E1388&lt;&gt;"",frame_units!F1388,NA())</f>
        <v/>
      </c>
    </row>
    <row r="1392">
      <c r="U1392">
        <f>IF(frame_units!E1389&lt;&gt;"",frame_units!E1389,NA())</f>
        <v/>
      </c>
      <c r="V1392">
        <f>IF(frame_units!E1389&lt;&gt;"",frame_units!F1389,NA())</f>
        <v/>
      </c>
    </row>
    <row r="1393">
      <c r="U1393">
        <f>IF(frame_units!E1390&lt;&gt;"",frame_units!E1390,NA())</f>
        <v/>
      </c>
      <c r="V1393">
        <f>IF(frame_units!E1390&lt;&gt;"",frame_units!F1390,NA())</f>
        <v/>
      </c>
    </row>
    <row r="1394">
      <c r="U1394">
        <f>IF(frame_units!E1391&lt;&gt;"",frame_units!E1391,NA())</f>
        <v/>
      </c>
      <c r="V1394">
        <f>IF(frame_units!E1391&lt;&gt;"",frame_units!F1391,NA())</f>
        <v/>
      </c>
    </row>
    <row r="1395">
      <c r="U1395">
        <f>IF(frame_units!E1392&lt;&gt;"",frame_units!E1392,NA())</f>
        <v/>
      </c>
      <c r="V1395">
        <f>IF(frame_units!E1392&lt;&gt;"",frame_units!F1392,NA())</f>
        <v/>
      </c>
    </row>
    <row r="1396">
      <c r="U1396">
        <f>IF(frame_units!E1393&lt;&gt;"",frame_units!E1393,NA())</f>
        <v/>
      </c>
      <c r="V1396">
        <f>IF(frame_units!E1393&lt;&gt;"",frame_units!F1393,NA())</f>
        <v/>
      </c>
    </row>
    <row r="1397">
      <c r="U1397">
        <f>IF(frame_units!E1394&lt;&gt;"",frame_units!E1394,NA())</f>
        <v/>
      </c>
      <c r="V1397">
        <f>IF(frame_units!E1394&lt;&gt;"",frame_units!F1394,NA())</f>
        <v/>
      </c>
    </row>
    <row r="1398">
      <c r="U1398">
        <f>IF(frame_units!E1395&lt;&gt;"",frame_units!E1395,NA())</f>
        <v/>
      </c>
      <c r="V1398">
        <f>IF(frame_units!E1395&lt;&gt;"",frame_units!F1395,NA())</f>
        <v/>
      </c>
    </row>
    <row r="1399">
      <c r="U1399">
        <f>IF(frame_units!E1396&lt;&gt;"",frame_units!E1396,NA())</f>
        <v/>
      </c>
      <c r="V1399">
        <f>IF(frame_units!E1396&lt;&gt;"",frame_units!F1396,NA())</f>
        <v/>
      </c>
    </row>
    <row r="1400">
      <c r="U1400">
        <f>IF(frame_units!E1397&lt;&gt;"",frame_units!E1397,NA())</f>
        <v/>
      </c>
      <c r="V1400">
        <f>IF(frame_units!E1397&lt;&gt;"",frame_units!F1397,NA())</f>
        <v/>
      </c>
    </row>
    <row r="1401">
      <c r="U1401">
        <f>IF(frame_units!E1398&lt;&gt;"",frame_units!E1398,NA())</f>
        <v/>
      </c>
      <c r="V1401">
        <f>IF(frame_units!E1398&lt;&gt;"",frame_units!F1398,NA())</f>
        <v/>
      </c>
    </row>
    <row r="1402">
      <c r="U1402">
        <f>IF(frame_units!E1399&lt;&gt;"",frame_units!E1399,NA())</f>
        <v/>
      </c>
      <c r="V1402">
        <f>IF(frame_units!E1399&lt;&gt;"",frame_units!F1399,NA())</f>
        <v/>
      </c>
    </row>
    <row r="1403">
      <c r="U1403">
        <f>IF(frame_units!E1400&lt;&gt;"",frame_units!E1400,NA())</f>
        <v/>
      </c>
      <c r="V1403">
        <f>IF(frame_units!E1400&lt;&gt;"",frame_units!F1400,NA())</f>
        <v/>
      </c>
    </row>
    <row r="1404">
      <c r="U1404">
        <f>IF(frame_units!E1401&lt;&gt;"",frame_units!E1401,NA())</f>
        <v/>
      </c>
      <c r="V1404">
        <f>IF(frame_units!E1401&lt;&gt;"",frame_units!F1401,NA())</f>
        <v/>
      </c>
    </row>
    <row r="1405">
      <c r="U1405">
        <f>IF(frame_units!E1402&lt;&gt;"",frame_units!E1402,NA())</f>
        <v/>
      </c>
      <c r="V1405">
        <f>IF(frame_units!E1402&lt;&gt;"",frame_units!F1402,NA())</f>
        <v/>
      </c>
    </row>
    <row r="1406">
      <c r="U1406">
        <f>IF(frame_units!E1403&lt;&gt;"",frame_units!E1403,NA())</f>
        <v/>
      </c>
      <c r="V1406">
        <f>IF(frame_units!E1403&lt;&gt;"",frame_units!F1403,NA())</f>
        <v/>
      </c>
    </row>
    <row r="1407">
      <c r="U1407">
        <f>IF(frame_units!E1404&lt;&gt;"",frame_units!E1404,NA())</f>
        <v/>
      </c>
      <c r="V1407">
        <f>IF(frame_units!E1404&lt;&gt;"",frame_units!F1404,NA())</f>
        <v/>
      </c>
    </row>
    <row r="1408">
      <c r="U1408">
        <f>IF(frame_units!E1405&lt;&gt;"",frame_units!E1405,NA())</f>
        <v/>
      </c>
      <c r="V1408">
        <f>IF(frame_units!E1405&lt;&gt;"",frame_units!F1405,NA())</f>
        <v/>
      </c>
    </row>
    <row r="1409">
      <c r="U1409">
        <f>IF(frame_units!E1406&lt;&gt;"",frame_units!E1406,NA())</f>
        <v/>
      </c>
      <c r="V1409">
        <f>IF(frame_units!E1406&lt;&gt;"",frame_units!F1406,NA())</f>
        <v/>
      </c>
    </row>
    <row r="1410">
      <c r="U1410">
        <f>IF(frame_units!E1407&lt;&gt;"",frame_units!E1407,NA())</f>
        <v/>
      </c>
      <c r="V1410">
        <f>IF(frame_units!E1407&lt;&gt;"",frame_units!F1407,NA())</f>
        <v/>
      </c>
    </row>
    <row r="1411">
      <c r="U1411">
        <f>IF(frame_units!E1408&lt;&gt;"",frame_units!E1408,NA())</f>
        <v/>
      </c>
      <c r="V1411">
        <f>IF(frame_units!E1408&lt;&gt;"",frame_units!F1408,NA())</f>
        <v/>
      </c>
    </row>
    <row r="1412">
      <c r="U1412">
        <f>IF(frame_units!E1409&lt;&gt;"",frame_units!E1409,NA())</f>
        <v/>
      </c>
      <c r="V1412">
        <f>IF(frame_units!E1409&lt;&gt;"",frame_units!F1409,NA())</f>
        <v/>
      </c>
    </row>
    <row r="1413">
      <c r="U1413">
        <f>IF(frame_units!E1410&lt;&gt;"",frame_units!E1410,NA())</f>
        <v/>
      </c>
      <c r="V1413">
        <f>IF(frame_units!E1410&lt;&gt;"",frame_units!F1410,NA())</f>
        <v/>
      </c>
    </row>
    <row r="1414">
      <c r="U1414">
        <f>IF(frame_units!E1411&lt;&gt;"",frame_units!E1411,NA())</f>
        <v/>
      </c>
      <c r="V1414">
        <f>IF(frame_units!E1411&lt;&gt;"",frame_units!F1411,NA())</f>
        <v/>
      </c>
    </row>
    <row r="1415">
      <c r="U1415">
        <f>IF(frame_units!E1412&lt;&gt;"",frame_units!E1412,NA())</f>
        <v/>
      </c>
      <c r="V1415">
        <f>IF(frame_units!E1412&lt;&gt;"",frame_units!F1412,NA())</f>
        <v/>
      </c>
    </row>
    <row r="1416">
      <c r="U1416">
        <f>IF(frame_units!E1413&lt;&gt;"",frame_units!E1413,NA())</f>
        <v/>
      </c>
      <c r="V1416">
        <f>IF(frame_units!E1413&lt;&gt;"",frame_units!F1413,NA())</f>
        <v/>
      </c>
    </row>
    <row r="1417">
      <c r="U1417">
        <f>IF(frame_units!E1414&lt;&gt;"",frame_units!E1414,NA())</f>
        <v/>
      </c>
      <c r="V1417">
        <f>IF(frame_units!E1414&lt;&gt;"",frame_units!F1414,NA())</f>
        <v/>
      </c>
    </row>
    <row r="1418">
      <c r="U1418">
        <f>IF(frame_units!E1415&lt;&gt;"",frame_units!E1415,NA())</f>
        <v/>
      </c>
      <c r="V1418">
        <f>IF(frame_units!E1415&lt;&gt;"",frame_units!F1415,NA())</f>
        <v/>
      </c>
    </row>
    <row r="1419">
      <c r="U1419">
        <f>IF(frame_units!E1416&lt;&gt;"",frame_units!E1416,NA())</f>
        <v/>
      </c>
      <c r="V1419">
        <f>IF(frame_units!E1416&lt;&gt;"",frame_units!F1416,NA())</f>
        <v/>
      </c>
    </row>
    <row r="1420">
      <c r="U1420">
        <f>IF(frame_units!E1417&lt;&gt;"",frame_units!E1417,NA())</f>
        <v/>
      </c>
      <c r="V1420">
        <f>IF(frame_units!E1417&lt;&gt;"",frame_units!F1417,NA())</f>
        <v/>
      </c>
    </row>
    <row r="1421">
      <c r="U1421">
        <f>IF(frame_units!E1418&lt;&gt;"",frame_units!E1418,NA())</f>
        <v/>
      </c>
      <c r="V1421">
        <f>IF(frame_units!E1418&lt;&gt;"",frame_units!F1418,NA())</f>
        <v/>
      </c>
    </row>
    <row r="1422">
      <c r="U1422">
        <f>IF(frame_units!E1419&lt;&gt;"",frame_units!E1419,NA())</f>
        <v/>
      </c>
      <c r="V1422">
        <f>IF(frame_units!E1419&lt;&gt;"",frame_units!F1419,NA())</f>
        <v/>
      </c>
    </row>
    <row r="1423">
      <c r="U1423">
        <f>IF(frame_units!E1420&lt;&gt;"",frame_units!E1420,NA())</f>
        <v/>
      </c>
      <c r="V1423">
        <f>IF(frame_units!E1420&lt;&gt;"",frame_units!F1420,NA())</f>
        <v/>
      </c>
    </row>
    <row r="1424">
      <c r="U1424">
        <f>IF(frame_units!E1421&lt;&gt;"",frame_units!E1421,NA())</f>
        <v/>
      </c>
      <c r="V1424">
        <f>IF(frame_units!E1421&lt;&gt;"",frame_units!F1421,NA())</f>
        <v/>
      </c>
    </row>
    <row r="1425">
      <c r="U1425">
        <f>IF(frame_units!E1422&lt;&gt;"",frame_units!E1422,NA())</f>
        <v/>
      </c>
      <c r="V1425">
        <f>IF(frame_units!E1422&lt;&gt;"",frame_units!F1422,NA())</f>
        <v/>
      </c>
    </row>
    <row r="1426">
      <c r="U1426">
        <f>IF(frame_units!E1423&lt;&gt;"",frame_units!E1423,NA())</f>
        <v/>
      </c>
      <c r="V1426">
        <f>IF(frame_units!E1423&lt;&gt;"",frame_units!F1423,NA())</f>
        <v/>
      </c>
    </row>
    <row r="1427">
      <c r="U1427">
        <f>IF(frame_units!E1424&lt;&gt;"",frame_units!E1424,NA())</f>
        <v/>
      </c>
      <c r="V1427">
        <f>IF(frame_units!E1424&lt;&gt;"",frame_units!F1424,NA())</f>
        <v/>
      </c>
    </row>
    <row r="1428">
      <c r="U1428">
        <f>IF(frame_units!E1425&lt;&gt;"",frame_units!E1425,NA())</f>
        <v/>
      </c>
      <c r="V1428">
        <f>IF(frame_units!E1425&lt;&gt;"",frame_units!F1425,NA())</f>
        <v/>
      </c>
    </row>
    <row r="1429">
      <c r="U1429">
        <f>IF(frame_units!E1426&lt;&gt;"",frame_units!E1426,NA())</f>
        <v/>
      </c>
      <c r="V1429">
        <f>IF(frame_units!E1426&lt;&gt;"",frame_units!F1426,NA())</f>
        <v/>
      </c>
    </row>
    <row r="1430">
      <c r="U1430">
        <f>IF(frame_units!E1427&lt;&gt;"",frame_units!E1427,NA())</f>
        <v/>
      </c>
      <c r="V1430">
        <f>IF(frame_units!E1427&lt;&gt;"",frame_units!F1427,NA())</f>
        <v/>
      </c>
    </row>
    <row r="1431">
      <c r="U1431">
        <f>IF(frame_units!E1428&lt;&gt;"",frame_units!E1428,NA())</f>
        <v/>
      </c>
      <c r="V1431">
        <f>IF(frame_units!E1428&lt;&gt;"",frame_units!F1428,NA())</f>
        <v/>
      </c>
    </row>
    <row r="1432">
      <c r="U1432">
        <f>IF(frame_units!E1429&lt;&gt;"",frame_units!E1429,NA())</f>
        <v/>
      </c>
      <c r="V1432">
        <f>IF(frame_units!E1429&lt;&gt;"",frame_units!F1429,NA())</f>
        <v/>
      </c>
    </row>
    <row r="1433">
      <c r="U1433">
        <f>IF(frame_units!E1430&lt;&gt;"",frame_units!E1430,NA())</f>
        <v/>
      </c>
      <c r="V1433">
        <f>IF(frame_units!E1430&lt;&gt;"",frame_units!F1430,NA())</f>
        <v/>
      </c>
    </row>
    <row r="1434">
      <c r="U1434">
        <f>IF(frame_units!E1431&lt;&gt;"",frame_units!E1431,NA())</f>
        <v/>
      </c>
      <c r="V1434">
        <f>IF(frame_units!E1431&lt;&gt;"",frame_units!F1431,NA())</f>
        <v/>
      </c>
    </row>
    <row r="1435">
      <c r="U1435">
        <f>IF(frame_units!E1432&lt;&gt;"",frame_units!E1432,NA())</f>
        <v/>
      </c>
      <c r="V1435">
        <f>IF(frame_units!E1432&lt;&gt;"",frame_units!F1432,NA())</f>
        <v/>
      </c>
    </row>
    <row r="1436">
      <c r="U1436">
        <f>IF(frame_units!E1433&lt;&gt;"",frame_units!E1433,NA())</f>
        <v/>
      </c>
      <c r="V1436">
        <f>IF(frame_units!E1433&lt;&gt;"",frame_units!F1433,NA())</f>
        <v/>
      </c>
    </row>
    <row r="1437">
      <c r="U1437">
        <f>IF(frame_units!E1434&lt;&gt;"",frame_units!E1434,NA())</f>
        <v/>
      </c>
      <c r="V1437">
        <f>IF(frame_units!E1434&lt;&gt;"",frame_units!F1434,NA())</f>
        <v/>
      </c>
    </row>
    <row r="1438">
      <c r="U1438">
        <f>IF(frame_units!E1435&lt;&gt;"",frame_units!E1435,NA())</f>
        <v/>
      </c>
      <c r="V1438">
        <f>IF(frame_units!E1435&lt;&gt;"",frame_units!F1435,NA())</f>
        <v/>
      </c>
    </row>
    <row r="1439">
      <c r="U1439">
        <f>IF(frame_units!E1436&lt;&gt;"",frame_units!E1436,NA())</f>
        <v/>
      </c>
      <c r="V1439">
        <f>IF(frame_units!E1436&lt;&gt;"",frame_units!F1436,NA())</f>
        <v/>
      </c>
    </row>
    <row r="1440">
      <c r="U1440">
        <f>IF(frame_units!E1437&lt;&gt;"",frame_units!E1437,NA())</f>
        <v/>
      </c>
      <c r="V1440">
        <f>IF(frame_units!E1437&lt;&gt;"",frame_units!F1437,NA())</f>
        <v/>
      </c>
    </row>
    <row r="1441">
      <c r="U1441">
        <f>IF(frame_units!E1438&lt;&gt;"",frame_units!E1438,NA())</f>
        <v/>
      </c>
      <c r="V1441">
        <f>IF(frame_units!E1438&lt;&gt;"",frame_units!F1438,NA())</f>
        <v/>
      </c>
    </row>
    <row r="1442">
      <c r="U1442">
        <f>IF(frame_units!E1439&lt;&gt;"",frame_units!E1439,NA())</f>
        <v/>
      </c>
      <c r="V1442">
        <f>IF(frame_units!E1439&lt;&gt;"",frame_units!F1439,NA())</f>
        <v/>
      </c>
    </row>
    <row r="1443">
      <c r="U1443">
        <f>IF(frame_units!E1440&lt;&gt;"",frame_units!E1440,NA())</f>
        <v/>
      </c>
      <c r="V1443">
        <f>IF(frame_units!E1440&lt;&gt;"",frame_units!F1440,NA())</f>
        <v/>
      </c>
    </row>
    <row r="1444">
      <c r="U1444">
        <f>IF(frame_units!E1441&lt;&gt;"",frame_units!E1441,NA())</f>
        <v/>
      </c>
      <c r="V1444">
        <f>IF(frame_units!E1441&lt;&gt;"",frame_units!F1441,NA())</f>
        <v/>
      </c>
    </row>
    <row r="1445">
      <c r="U1445">
        <f>IF(frame_units!E1442&lt;&gt;"",frame_units!E1442,NA())</f>
        <v/>
      </c>
      <c r="V1445">
        <f>IF(frame_units!E1442&lt;&gt;"",frame_units!F1442,NA())</f>
        <v/>
      </c>
    </row>
    <row r="1446">
      <c r="U1446">
        <f>IF(frame_units!E1443&lt;&gt;"",frame_units!E1443,NA())</f>
        <v/>
      </c>
      <c r="V1446">
        <f>IF(frame_units!E1443&lt;&gt;"",frame_units!F1443,NA())</f>
        <v/>
      </c>
    </row>
    <row r="1447">
      <c r="U1447">
        <f>IF(frame_units!E1444&lt;&gt;"",frame_units!E1444,NA())</f>
        <v/>
      </c>
      <c r="V1447">
        <f>IF(frame_units!E1444&lt;&gt;"",frame_units!F1444,NA())</f>
        <v/>
      </c>
    </row>
    <row r="1448">
      <c r="U1448">
        <f>IF(frame_units!E1445&lt;&gt;"",frame_units!E1445,NA())</f>
        <v/>
      </c>
      <c r="V1448">
        <f>IF(frame_units!E1445&lt;&gt;"",frame_units!F1445,NA())</f>
        <v/>
      </c>
    </row>
    <row r="1449">
      <c r="U1449">
        <f>IF(frame_units!E1446&lt;&gt;"",frame_units!E1446,NA())</f>
        <v/>
      </c>
      <c r="V1449">
        <f>IF(frame_units!E1446&lt;&gt;"",frame_units!F1446,NA())</f>
        <v/>
      </c>
    </row>
    <row r="1450">
      <c r="U1450">
        <f>IF(frame_units!E1447&lt;&gt;"",frame_units!E1447,NA())</f>
        <v/>
      </c>
      <c r="V1450">
        <f>IF(frame_units!E1447&lt;&gt;"",frame_units!F1447,NA())</f>
        <v/>
      </c>
    </row>
    <row r="1451">
      <c r="U1451">
        <f>IF(frame_units!E1448&lt;&gt;"",frame_units!E1448,NA())</f>
        <v/>
      </c>
      <c r="V1451">
        <f>IF(frame_units!E1448&lt;&gt;"",frame_units!F1448,NA())</f>
        <v/>
      </c>
    </row>
    <row r="1452">
      <c r="U1452">
        <f>IF(frame_units!E1449&lt;&gt;"",frame_units!E1449,NA())</f>
        <v/>
      </c>
      <c r="V1452">
        <f>IF(frame_units!E1449&lt;&gt;"",frame_units!F1449,NA())</f>
        <v/>
      </c>
    </row>
    <row r="1453">
      <c r="U1453">
        <f>IF(frame_units!E1450&lt;&gt;"",frame_units!E1450,NA())</f>
        <v/>
      </c>
      <c r="V1453">
        <f>IF(frame_units!E1450&lt;&gt;"",frame_units!F1450,NA())</f>
        <v/>
      </c>
    </row>
    <row r="1454">
      <c r="U1454">
        <f>IF(frame_units!E1451&lt;&gt;"",frame_units!E1451,NA())</f>
        <v/>
      </c>
      <c r="V1454">
        <f>IF(frame_units!E1451&lt;&gt;"",frame_units!F1451,NA())</f>
        <v/>
      </c>
    </row>
    <row r="1455">
      <c r="U1455">
        <f>IF(frame_units!E1452&lt;&gt;"",frame_units!E1452,NA())</f>
        <v/>
      </c>
      <c r="V1455">
        <f>IF(frame_units!E1452&lt;&gt;"",frame_units!F1452,NA())</f>
        <v/>
      </c>
    </row>
    <row r="1456">
      <c r="U1456">
        <f>IF(frame_units!E1453&lt;&gt;"",frame_units!E1453,NA())</f>
        <v/>
      </c>
      <c r="V1456">
        <f>IF(frame_units!E1453&lt;&gt;"",frame_units!F1453,NA())</f>
        <v/>
      </c>
    </row>
    <row r="1457">
      <c r="U1457">
        <f>IF(frame_units!E1454&lt;&gt;"",frame_units!E1454,NA())</f>
        <v/>
      </c>
      <c r="V1457">
        <f>IF(frame_units!E1454&lt;&gt;"",frame_units!F1454,NA())</f>
        <v/>
      </c>
    </row>
    <row r="1458">
      <c r="U1458">
        <f>IF(frame_units!E1455&lt;&gt;"",frame_units!E1455,NA())</f>
        <v/>
      </c>
      <c r="V1458">
        <f>IF(frame_units!E1455&lt;&gt;"",frame_units!F1455,NA())</f>
        <v/>
      </c>
    </row>
    <row r="1459">
      <c r="U1459">
        <f>IF(frame_units!E1456&lt;&gt;"",frame_units!E1456,NA())</f>
        <v/>
      </c>
      <c r="V1459">
        <f>IF(frame_units!E1456&lt;&gt;"",frame_units!F1456,NA())</f>
        <v/>
      </c>
    </row>
    <row r="1460">
      <c r="U1460">
        <f>IF(frame_units!E1457&lt;&gt;"",frame_units!E1457,NA())</f>
        <v/>
      </c>
      <c r="V1460">
        <f>IF(frame_units!E1457&lt;&gt;"",frame_units!F1457,NA())</f>
        <v/>
      </c>
    </row>
    <row r="1461">
      <c r="U1461">
        <f>IF(frame_units!E1458&lt;&gt;"",frame_units!E1458,NA())</f>
        <v/>
      </c>
      <c r="V1461">
        <f>IF(frame_units!E1458&lt;&gt;"",frame_units!F1458,NA())</f>
        <v/>
      </c>
    </row>
    <row r="1462">
      <c r="U1462">
        <f>IF(frame_units!E1459&lt;&gt;"",frame_units!E1459,NA())</f>
        <v/>
      </c>
      <c r="V1462">
        <f>IF(frame_units!E1459&lt;&gt;"",frame_units!F1459,NA())</f>
        <v/>
      </c>
    </row>
    <row r="1463">
      <c r="U1463">
        <f>IF(frame_units!E1460&lt;&gt;"",frame_units!E1460,NA())</f>
        <v/>
      </c>
      <c r="V1463">
        <f>IF(frame_units!E1460&lt;&gt;"",frame_units!F1460,NA())</f>
        <v/>
      </c>
    </row>
    <row r="1464">
      <c r="U1464">
        <f>IF(frame_units!E1461&lt;&gt;"",frame_units!E1461,NA())</f>
        <v/>
      </c>
      <c r="V1464">
        <f>IF(frame_units!E1461&lt;&gt;"",frame_units!F1461,NA())</f>
        <v/>
      </c>
    </row>
    <row r="1465">
      <c r="U1465">
        <f>IF(frame_units!E1462&lt;&gt;"",frame_units!E1462,NA())</f>
        <v/>
      </c>
      <c r="V1465">
        <f>IF(frame_units!E1462&lt;&gt;"",frame_units!F1462,NA())</f>
        <v/>
      </c>
    </row>
    <row r="1466">
      <c r="U1466">
        <f>IF(frame_units!E1463&lt;&gt;"",frame_units!E1463,NA())</f>
        <v/>
      </c>
      <c r="V1466">
        <f>IF(frame_units!E1463&lt;&gt;"",frame_units!F1463,NA())</f>
        <v/>
      </c>
    </row>
    <row r="1467">
      <c r="U1467">
        <f>IF(frame_units!E1464&lt;&gt;"",frame_units!E1464,NA())</f>
        <v/>
      </c>
      <c r="V1467">
        <f>IF(frame_units!E1464&lt;&gt;"",frame_units!F1464,NA())</f>
        <v/>
      </c>
    </row>
    <row r="1468">
      <c r="U1468">
        <f>IF(frame_units!E1465&lt;&gt;"",frame_units!E1465,NA())</f>
        <v/>
      </c>
      <c r="V1468">
        <f>IF(frame_units!E1465&lt;&gt;"",frame_units!F1465,NA())</f>
        <v/>
      </c>
    </row>
    <row r="1469">
      <c r="U1469">
        <f>IF(frame_units!E1466&lt;&gt;"",frame_units!E1466,NA())</f>
        <v/>
      </c>
      <c r="V1469">
        <f>IF(frame_units!E1466&lt;&gt;"",frame_units!F1466,NA())</f>
        <v/>
      </c>
    </row>
    <row r="1470">
      <c r="U1470">
        <f>IF(frame_units!E1467&lt;&gt;"",frame_units!E1467,NA())</f>
        <v/>
      </c>
      <c r="V1470">
        <f>IF(frame_units!E1467&lt;&gt;"",frame_units!F1467,NA())</f>
        <v/>
      </c>
    </row>
    <row r="1471">
      <c r="U1471">
        <f>IF(frame_units!E1468&lt;&gt;"",frame_units!E1468,NA())</f>
        <v/>
      </c>
      <c r="V1471">
        <f>IF(frame_units!E1468&lt;&gt;"",frame_units!F1468,NA())</f>
        <v/>
      </c>
    </row>
    <row r="1472">
      <c r="U1472">
        <f>IF(frame_units!E1469&lt;&gt;"",frame_units!E1469,NA())</f>
        <v/>
      </c>
      <c r="V1472">
        <f>IF(frame_units!E1469&lt;&gt;"",frame_units!F1469,NA())</f>
        <v/>
      </c>
    </row>
    <row r="1473">
      <c r="U1473">
        <f>IF(frame_units!E1470&lt;&gt;"",frame_units!E1470,NA())</f>
        <v/>
      </c>
      <c r="V1473">
        <f>IF(frame_units!E1470&lt;&gt;"",frame_units!F1470,NA())</f>
        <v/>
      </c>
    </row>
    <row r="1474">
      <c r="U1474">
        <f>IF(frame_units!E1471&lt;&gt;"",frame_units!E1471,NA())</f>
        <v/>
      </c>
      <c r="V1474">
        <f>IF(frame_units!E1471&lt;&gt;"",frame_units!F1471,NA())</f>
        <v/>
      </c>
    </row>
    <row r="1475">
      <c r="U1475">
        <f>IF(frame_units!E1472&lt;&gt;"",frame_units!E1472,NA())</f>
        <v/>
      </c>
      <c r="V1475">
        <f>IF(frame_units!E1472&lt;&gt;"",frame_units!F1472,NA())</f>
        <v/>
      </c>
    </row>
    <row r="1476">
      <c r="U1476">
        <f>IF(frame_units!E1473&lt;&gt;"",frame_units!E1473,NA())</f>
        <v/>
      </c>
      <c r="V1476">
        <f>IF(frame_units!E1473&lt;&gt;"",frame_units!F1473,NA())</f>
        <v/>
      </c>
    </row>
    <row r="1477">
      <c r="U1477">
        <f>IF(frame_units!E1474&lt;&gt;"",frame_units!E1474,NA())</f>
        <v/>
      </c>
      <c r="V1477">
        <f>IF(frame_units!E1474&lt;&gt;"",frame_units!F1474,NA())</f>
        <v/>
      </c>
    </row>
    <row r="1478">
      <c r="U1478">
        <f>IF(frame_units!E1475&lt;&gt;"",frame_units!E1475,NA())</f>
        <v/>
      </c>
      <c r="V1478">
        <f>IF(frame_units!E1475&lt;&gt;"",frame_units!F1475,NA())</f>
        <v/>
      </c>
    </row>
    <row r="1479">
      <c r="U1479">
        <f>IF(frame_units!E1476&lt;&gt;"",frame_units!E1476,NA())</f>
        <v/>
      </c>
      <c r="V1479">
        <f>IF(frame_units!E1476&lt;&gt;"",frame_units!F1476,NA())</f>
        <v/>
      </c>
    </row>
    <row r="1480">
      <c r="U1480">
        <f>IF(frame_units!E1477&lt;&gt;"",frame_units!E1477,NA())</f>
        <v/>
      </c>
      <c r="V1480">
        <f>IF(frame_units!E1477&lt;&gt;"",frame_units!F1477,NA())</f>
        <v/>
      </c>
    </row>
    <row r="1481">
      <c r="U1481">
        <f>IF(frame_units!E1478&lt;&gt;"",frame_units!E1478,NA())</f>
        <v/>
      </c>
      <c r="V1481">
        <f>IF(frame_units!E1478&lt;&gt;"",frame_units!F1478,NA())</f>
        <v/>
      </c>
    </row>
    <row r="1482">
      <c r="U1482">
        <f>IF(frame_units!E1479&lt;&gt;"",frame_units!E1479,NA())</f>
        <v/>
      </c>
      <c r="V1482">
        <f>IF(frame_units!E1479&lt;&gt;"",frame_units!F1479,NA())</f>
        <v/>
      </c>
    </row>
    <row r="1483">
      <c r="U1483">
        <f>IF(frame_units!E1480&lt;&gt;"",frame_units!E1480,NA())</f>
        <v/>
      </c>
      <c r="V1483">
        <f>IF(frame_units!E1480&lt;&gt;"",frame_units!F1480,NA())</f>
        <v/>
      </c>
    </row>
    <row r="1484">
      <c r="U1484">
        <f>IF(frame_units!E1481&lt;&gt;"",frame_units!E1481,NA())</f>
        <v/>
      </c>
      <c r="V1484">
        <f>IF(frame_units!E1481&lt;&gt;"",frame_units!F1481,NA())</f>
        <v/>
      </c>
    </row>
    <row r="1485">
      <c r="U1485">
        <f>IF(frame_units!E1482&lt;&gt;"",frame_units!E1482,NA())</f>
        <v/>
      </c>
      <c r="V1485">
        <f>IF(frame_units!E1482&lt;&gt;"",frame_units!F1482,NA())</f>
        <v/>
      </c>
    </row>
    <row r="1486">
      <c r="U1486">
        <f>IF(frame_units!E1483&lt;&gt;"",frame_units!E1483,NA())</f>
        <v/>
      </c>
      <c r="V1486">
        <f>IF(frame_units!E1483&lt;&gt;"",frame_units!F1483,NA())</f>
        <v/>
      </c>
    </row>
    <row r="1487">
      <c r="U1487">
        <f>IF(frame_units!E1484&lt;&gt;"",frame_units!E1484,NA())</f>
        <v/>
      </c>
      <c r="V1487">
        <f>IF(frame_units!E1484&lt;&gt;"",frame_units!F1484,NA())</f>
        <v/>
      </c>
    </row>
    <row r="1488">
      <c r="U1488">
        <f>IF(frame_units!E1485&lt;&gt;"",frame_units!E1485,NA())</f>
        <v/>
      </c>
      <c r="V1488">
        <f>IF(frame_units!E1485&lt;&gt;"",frame_units!F1485,NA())</f>
        <v/>
      </c>
    </row>
    <row r="1489">
      <c r="U1489">
        <f>IF(frame_units!E1486&lt;&gt;"",frame_units!E1486,NA())</f>
        <v/>
      </c>
      <c r="V1489">
        <f>IF(frame_units!E1486&lt;&gt;"",frame_units!F1486,NA())</f>
        <v/>
      </c>
    </row>
    <row r="1490">
      <c r="U1490">
        <f>IF(frame_units!E1487&lt;&gt;"",frame_units!E1487,NA())</f>
        <v/>
      </c>
      <c r="V1490">
        <f>IF(frame_units!E1487&lt;&gt;"",frame_units!F1487,NA())</f>
        <v/>
      </c>
    </row>
    <row r="1491">
      <c r="U1491">
        <f>IF(frame_units!E1488&lt;&gt;"",frame_units!E1488,NA())</f>
        <v/>
      </c>
      <c r="V1491">
        <f>IF(frame_units!E1488&lt;&gt;"",frame_units!F1488,NA())</f>
        <v/>
      </c>
    </row>
    <row r="1492">
      <c r="U1492">
        <f>IF(frame_units!E1489&lt;&gt;"",frame_units!E1489,NA())</f>
        <v/>
      </c>
      <c r="V1492">
        <f>IF(frame_units!E1489&lt;&gt;"",frame_units!F1489,NA())</f>
        <v/>
      </c>
    </row>
    <row r="1493">
      <c r="U1493">
        <f>IF(frame_units!E1490&lt;&gt;"",frame_units!E1490,NA())</f>
        <v/>
      </c>
      <c r="V1493">
        <f>IF(frame_units!E1490&lt;&gt;"",frame_units!F1490,NA())</f>
        <v/>
      </c>
    </row>
    <row r="1494">
      <c r="U1494">
        <f>IF(frame_units!E1491&lt;&gt;"",frame_units!E1491,NA())</f>
        <v/>
      </c>
      <c r="V1494">
        <f>IF(frame_units!E1491&lt;&gt;"",frame_units!F1491,NA())</f>
        <v/>
      </c>
    </row>
    <row r="1495">
      <c r="U1495">
        <f>IF(frame_units!E1492&lt;&gt;"",frame_units!E1492,NA())</f>
        <v/>
      </c>
      <c r="V1495">
        <f>IF(frame_units!E1492&lt;&gt;"",frame_units!F1492,NA())</f>
        <v/>
      </c>
    </row>
    <row r="1496">
      <c r="U1496">
        <f>IF(frame_units!E1493&lt;&gt;"",frame_units!E1493,NA())</f>
        <v/>
      </c>
      <c r="V1496">
        <f>IF(frame_units!E1493&lt;&gt;"",frame_units!F1493,NA())</f>
        <v/>
      </c>
    </row>
    <row r="1497">
      <c r="U1497">
        <f>IF(frame_units!E1494&lt;&gt;"",frame_units!E1494,NA())</f>
        <v/>
      </c>
      <c r="V1497">
        <f>IF(frame_units!E1494&lt;&gt;"",frame_units!F1494,NA())</f>
        <v/>
      </c>
    </row>
    <row r="1498">
      <c r="U1498">
        <f>IF(frame_units!E1495&lt;&gt;"",frame_units!E1495,NA())</f>
        <v/>
      </c>
      <c r="V1498">
        <f>IF(frame_units!E1495&lt;&gt;"",frame_units!F1495,NA())</f>
        <v/>
      </c>
    </row>
    <row r="1499">
      <c r="U1499">
        <f>IF(frame_units!E1496&lt;&gt;"",frame_units!E1496,NA())</f>
        <v/>
      </c>
      <c r="V1499">
        <f>IF(frame_units!E1496&lt;&gt;"",frame_units!F1496,NA())</f>
        <v/>
      </c>
    </row>
    <row r="1500">
      <c r="U1500">
        <f>IF(frame_units!E1497&lt;&gt;"",frame_units!E1497,NA())</f>
        <v/>
      </c>
      <c r="V1500">
        <f>IF(frame_units!E1497&lt;&gt;"",frame_units!F1497,NA())</f>
        <v/>
      </c>
    </row>
    <row r="1501">
      <c r="U1501">
        <f>IF(frame_units!E1498&lt;&gt;"",frame_units!E1498,NA())</f>
        <v/>
      </c>
      <c r="V1501">
        <f>IF(frame_units!E1498&lt;&gt;"",frame_units!F1498,NA())</f>
        <v/>
      </c>
    </row>
    <row r="1502">
      <c r="U1502">
        <f>IF(frame_units!E1499&lt;&gt;"",frame_units!E1499,NA())</f>
        <v/>
      </c>
      <c r="V1502">
        <f>IF(frame_units!E1499&lt;&gt;"",frame_units!F1499,NA())</f>
        <v/>
      </c>
    </row>
    <row r="1503">
      <c r="U1503">
        <f>IF(frame_units!E1500&lt;&gt;"",frame_units!E1500,NA())</f>
        <v/>
      </c>
      <c r="V1503">
        <f>IF(frame_units!E1500&lt;&gt;"",frame_units!F1500,NA())</f>
        <v/>
      </c>
    </row>
    <row r="1504">
      <c r="U1504">
        <f>IF(frame_units!E1501&lt;&gt;"",frame_units!E1501,NA())</f>
        <v/>
      </c>
      <c r="V1504">
        <f>IF(frame_units!E1501&lt;&gt;"",frame_units!F1501,NA())</f>
        <v/>
      </c>
    </row>
    <row r="1505">
      <c r="U1505">
        <f>IF(frame_units!E1502&lt;&gt;"",frame_units!E1502,NA())</f>
        <v/>
      </c>
      <c r="V1505">
        <f>IF(frame_units!E1502&lt;&gt;"",frame_units!F1502,NA())</f>
        <v/>
      </c>
    </row>
    <row r="1506">
      <c r="U1506">
        <f>IF(frame_units!E1503&lt;&gt;"",frame_units!E1503,NA())</f>
        <v/>
      </c>
      <c r="V1506">
        <f>IF(frame_units!E1503&lt;&gt;"",frame_units!F1503,NA())</f>
        <v/>
      </c>
    </row>
    <row r="1507">
      <c r="U1507">
        <f>IF(frame_units!E1504&lt;&gt;"",frame_units!E1504,NA())</f>
        <v/>
      </c>
      <c r="V1507">
        <f>IF(frame_units!E1504&lt;&gt;"",frame_units!F1504,NA())</f>
        <v/>
      </c>
    </row>
    <row r="1508">
      <c r="U1508">
        <f>IF(frame_units!E1505&lt;&gt;"",frame_units!E1505,NA())</f>
        <v/>
      </c>
      <c r="V1508">
        <f>IF(frame_units!E1505&lt;&gt;"",frame_units!F1505,NA())</f>
        <v/>
      </c>
    </row>
    <row r="1509">
      <c r="U1509">
        <f>IF(frame_units!E1506&lt;&gt;"",frame_units!E1506,NA())</f>
        <v/>
      </c>
      <c r="V1509">
        <f>IF(frame_units!E1506&lt;&gt;"",frame_units!F1506,NA())</f>
        <v/>
      </c>
    </row>
    <row r="1510">
      <c r="U1510">
        <f>IF(frame_units!E1507&lt;&gt;"",frame_units!E1507,NA())</f>
        <v/>
      </c>
      <c r="V1510">
        <f>IF(frame_units!E1507&lt;&gt;"",frame_units!F1507,NA())</f>
        <v/>
      </c>
    </row>
    <row r="1511">
      <c r="U1511">
        <f>IF(frame_units!E1508&lt;&gt;"",frame_units!E1508,NA())</f>
        <v/>
      </c>
      <c r="V1511">
        <f>IF(frame_units!E1508&lt;&gt;"",frame_units!F1508,NA())</f>
        <v/>
      </c>
    </row>
    <row r="1512">
      <c r="U1512">
        <f>IF(frame_units!E1509&lt;&gt;"",frame_units!E1509,NA())</f>
        <v/>
      </c>
      <c r="V1512">
        <f>IF(frame_units!E1509&lt;&gt;"",frame_units!F1509,NA())</f>
        <v/>
      </c>
    </row>
    <row r="1513">
      <c r="U1513">
        <f>IF(frame_units!E1510&lt;&gt;"",frame_units!E1510,NA())</f>
        <v/>
      </c>
      <c r="V1513">
        <f>IF(frame_units!E1510&lt;&gt;"",frame_units!F1510,NA())</f>
        <v/>
      </c>
    </row>
    <row r="1514">
      <c r="U1514">
        <f>IF(frame_units!E1511&lt;&gt;"",frame_units!E1511,NA())</f>
        <v/>
      </c>
      <c r="V1514">
        <f>IF(frame_units!E1511&lt;&gt;"",frame_units!F1511,NA())</f>
        <v/>
      </c>
    </row>
    <row r="1515">
      <c r="U1515">
        <f>IF(frame_units!E1512&lt;&gt;"",frame_units!E1512,NA())</f>
        <v/>
      </c>
      <c r="V1515">
        <f>IF(frame_units!E1512&lt;&gt;"",frame_units!F1512,NA())</f>
        <v/>
      </c>
    </row>
    <row r="1516">
      <c r="U1516">
        <f>IF(frame_units!E1513&lt;&gt;"",frame_units!E1513,NA())</f>
        <v/>
      </c>
      <c r="V1516">
        <f>IF(frame_units!E1513&lt;&gt;"",frame_units!F1513,NA())</f>
        <v/>
      </c>
    </row>
    <row r="1517">
      <c r="U1517">
        <f>IF(frame_units!E1514&lt;&gt;"",frame_units!E1514,NA())</f>
        <v/>
      </c>
      <c r="V1517">
        <f>IF(frame_units!E1514&lt;&gt;"",frame_units!F1514,NA())</f>
        <v/>
      </c>
    </row>
    <row r="1518">
      <c r="U1518">
        <f>IF(frame_units!E1515&lt;&gt;"",frame_units!E1515,NA())</f>
        <v/>
      </c>
      <c r="V1518">
        <f>IF(frame_units!E1515&lt;&gt;"",frame_units!F1515,NA())</f>
        <v/>
      </c>
    </row>
    <row r="1519">
      <c r="U1519">
        <f>IF(frame_units!E1516&lt;&gt;"",frame_units!E1516,NA())</f>
        <v/>
      </c>
      <c r="V1519">
        <f>IF(frame_units!E1516&lt;&gt;"",frame_units!F1516,NA())</f>
        <v/>
      </c>
    </row>
    <row r="1520">
      <c r="U1520">
        <f>IF(frame_units!E1517&lt;&gt;"",frame_units!E1517,NA())</f>
        <v/>
      </c>
      <c r="V1520">
        <f>IF(frame_units!E1517&lt;&gt;"",frame_units!F1517,NA())</f>
        <v/>
      </c>
    </row>
    <row r="1521">
      <c r="U1521">
        <f>IF(frame_units!E1518&lt;&gt;"",frame_units!E1518,NA())</f>
        <v/>
      </c>
      <c r="V1521">
        <f>IF(frame_units!E1518&lt;&gt;"",frame_units!F1518,NA())</f>
        <v/>
      </c>
    </row>
    <row r="1522">
      <c r="U1522">
        <f>IF(frame_units!E1519&lt;&gt;"",frame_units!E1519,NA())</f>
        <v/>
      </c>
      <c r="V1522">
        <f>IF(frame_units!E1519&lt;&gt;"",frame_units!F1519,NA())</f>
        <v/>
      </c>
    </row>
    <row r="1523">
      <c r="U1523">
        <f>IF(frame_units!E1520&lt;&gt;"",frame_units!E1520,NA())</f>
        <v/>
      </c>
      <c r="V1523">
        <f>IF(frame_units!E1520&lt;&gt;"",frame_units!F1520,NA())</f>
        <v/>
      </c>
    </row>
    <row r="1524">
      <c r="U1524">
        <f>IF(frame_units!E1521&lt;&gt;"",frame_units!E1521,NA())</f>
        <v/>
      </c>
      <c r="V1524">
        <f>IF(frame_units!E1521&lt;&gt;"",frame_units!F1521,NA())</f>
        <v/>
      </c>
    </row>
    <row r="1525">
      <c r="U1525">
        <f>IF(frame_units!E1522&lt;&gt;"",frame_units!E1522,NA())</f>
        <v/>
      </c>
      <c r="V1525">
        <f>IF(frame_units!E1522&lt;&gt;"",frame_units!F1522,NA())</f>
        <v/>
      </c>
    </row>
    <row r="1526">
      <c r="U1526">
        <f>IF(frame_units!E1523&lt;&gt;"",frame_units!E1523,NA())</f>
        <v/>
      </c>
      <c r="V1526">
        <f>IF(frame_units!E1523&lt;&gt;"",frame_units!F1523,NA())</f>
        <v/>
      </c>
    </row>
    <row r="1527">
      <c r="U1527">
        <f>IF(frame_units!E1524&lt;&gt;"",frame_units!E1524,NA())</f>
        <v/>
      </c>
      <c r="V1527">
        <f>IF(frame_units!E1524&lt;&gt;"",frame_units!F1524,NA())</f>
        <v/>
      </c>
    </row>
    <row r="1528">
      <c r="U1528">
        <f>IF(frame_units!E1525&lt;&gt;"",frame_units!E1525,NA())</f>
        <v/>
      </c>
      <c r="V1528">
        <f>IF(frame_units!E1525&lt;&gt;"",frame_units!F1525,NA())</f>
        <v/>
      </c>
    </row>
    <row r="1529">
      <c r="U1529">
        <f>IF(frame_units!E1526&lt;&gt;"",frame_units!E1526,NA())</f>
        <v/>
      </c>
      <c r="V1529">
        <f>IF(frame_units!E1526&lt;&gt;"",frame_units!F1526,NA())</f>
        <v/>
      </c>
    </row>
    <row r="1530">
      <c r="U1530">
        <f>IF(frame_units!E1527&lt;&gt;"",frame_units!E1527,NA())</f>
        <v/>
      </c>
      <c r="V1530">
        <f>IF(frame_units!E1527&lt;&gt;"",frame_units!F1527,NA())</f>
        <v/>
      </c>
    </row>
    <row r="1531">
      <c r="U1531">
        <f>IF(frame_units!E1528&lt;&gt;"",frame_units!E1528,NA())</f>
        <v/>
      </c>
      <c r="V1531">
        <f>IF(frame_units!E1528&lt;&gt;"",frame_units!F1528,NA())</f>
        <v/>
      </c>
    </row>
    <row r="1532">
      <c r="U1532">
        <f>IF(frame_units!E1529&lt;&gt;"",frame_units!E1529,NA())</f>
        <v/>
      </c>
      <c r="V1532">
        <f>IF(frame_units!E1529&lt;&gt;"",frame_units!F1529,NA())</f>
        <v/>
      </c>
    </row>
    <row r="1533">
      <c r="U1533">
        <f>IF(frame_units!E1530&lt;&gt;"",frame_units!E1530,NA())</f>
        <v/>
      </c>
      <c r="V1533">
        <f>IF(frame_units!E1530&lt;&gt;"",frame_units!F1530,NA())</f>
        <v/>
      </c>
    </row>
    <row r="1534">
      <c r="U1534">
        <f>IF(frame_units!E1531&lt;&gt;"",frame_units!E1531,NA())</f>
        <v/>
      </c>
      <c r="V1534">
        <f>IF(frame_units!E1531&lt;&gt;"",frame_units!F1531,NA())</f>
        <v/>
      </c>
    </row>
    <row r="1535">
      <c r="U1535">
        <f>IF(frame_units!E1532&lt;&gt;"",frame_units!E1532,NA())</f>
        <v/>
      </c>
      <c r="V1535">
        <f>IF(frame_units!E1532&lt;&gt;"",frame_units!F1532,NA())</f>
        <v/>
      </c>
    </row>
    <row r="1536">
      <c r="U1536">
        <f>IF(frame_units!E1533&lt;&gt;"",frame_units!E1533,NA())</f>
        <v/>
      </c>
      <c r="V1536">
        <f>IF(frame_units!E1533&lt;&gt;"",frame_units!F1533,NA())</f>
        <v/>
      </c>
    </row>
    <row r="1537">
      <c r="U1537">
        <f>IF(frame_units!E1534&lt;&gt;"",frame_units!E1534,NA())</f>
        <v/>
      </c>
      <c r="V1537">
        <f>IF(frame_units!E1534&lt;&gt;"",frame_units!F1534,NA())</f>
        <v/>
      </c>
    </row>
    <row r="1538">
      <c r="U1538">
        <f>IF(frame_units!E1535&lt;&gt;"",frame_units!E1535,NA())</f>
        <v/>
      </c>
      <c r="V1538">
        <f>IF(frame_units!E1535&lt;&gt;"",frame_units!F1535,NA())</f>
        <v/>
      </c>
    </row>
    <row r="1539">
      <c r="U1539">
        <f>IF(frame_units!E1536&lt;&gt;"",frame_units!E1536,NA())</f>
        <v/>
      </c>
      <c r="V1539">
        <f>IF(frame_units!E1536&lt;&gt;"",frame_units!F1536,NA())</f>
        <v/>
      </c>
    </row>
    <row r="1540">
      <c r="U1540">
        <f>IF(frame_units!E1537&lt;&gt;"",frame_units!E1537,NA())</f>
        <v/>
      </c>
      <c r="V1540">
        <f>IF(frame_units!E1537&lt;&gt;"",frame_units!F1537,NA())</f>
        <v/>
      </c>
    </row>
    <row r="1541">
      <c r="U1541">
        <f>IF(frame_units!E1538&lt;&gt;"",frame_units!E1538,NA())</f>
        <v/>
      </c>
      <c r="V1541">
        <f>IF(frame_units!E1538&lt;&gt;"",frame_units!F1538,NA())</f>
        <v/>
      </c>
    </row>
    <row r="1542">
      <c r="U1542">
        <f>IF(frame_units!E1539&lt;&gt;"",frame_units!E1539,NA())</f>
        <v/>
      </c>
      <c r="V1542">
        <f>IF(frame_units!E1539&lt;&gt;"",frame_units!F1539,NA())</f>
        <v/>
      </c>
    </row>
    <row r="1543">
      <c r="U1543">
        <f>IF(frame_units!E1540&lt;&gt;"",frame_units!E1540,NA())</f>
        <v/>
      </c>
      <c r="V1543">
        <f>IF(frame_units!E1540&lt;&gt;"",frame_units!F1540,NA())</f>
        <v/>
      </c>
    </row>
    <row r="1544">
      <c r="U1544">
        <f>IF(frame_units!E1541&lt;&gt;"",frame_units!E1541,NA())</f>
        <v/>
      </c>
      <c r="V1544">
        <f>IF(frame_units!E1541&lt;&gt;"",frame_units!F1541,NA())</f>
        <v/>
      </c>
    </row>
    <row r="1545">
      <c r="U1545">
        <f>IF(frame_units!E1542&lt;&gt;"",frame_units!E1542,NA())</f>
        <v/>
      </c>
      <c r="V1545">
        <f>IF(frame_units!E1542&lt;&gt;"",frame_units!F1542,NA())</f>
        <v/>
      </c>
    </row>
    <row r="1546">
      <c r="U1546">
        <f>IF(frame_units!E1543&lt;&gt;"",frame_units!E1543,NA())</f>
        <v/>
      </c>
      <c r="V1546">
        <f>IF(frame_units!E1543&lt;&gt;"",frame_units!F1543,NA())</f>
        <v/>
      </c>
    </row>
    <row r="1547">
      <c r="U1547">
        <f>IF(frame_units!E1544&lt;&gt;"",frame_units!E1544,NA())</f>
        <v/>
      </c>
      <c r="V1547">
        <f>IF(frame_units!E1544&lt;&gt;"",frame_units!F1544,NA())</f>
        <v/>
      </c>
    </row>
    <row r="1548">
      <c r="U1548">
        <f>IF(frame_units!E1545&lt;&gt;"",frame_units!E1545,NA())</f>
        <v/>
      </c>
      <c r="V1548">
        <f>IF(frame_units!E1545&lt;&gt;"",frame_units!F1545,NA())</f>
        <v/>
      </c>
    </row>
    <row r="1549">
      <c r="U1549">
        <f>IF(frame_units!E1546&lt;&gt;"",frame_units!E1546,NA())</f>
        <v/>
      </c>
      <c r="V1549">
        <f>IF(frame_units!E1546&lt;&gt;"",frame_units!F1546,NA())</f>
        <v/>
      </c>
    </row>
    <row r="1550">
      <c r="U1550">
        <f>IF(frame_units!E1547&lt;&gt;"",frame_units!E1547,NA())</f>
        <v/>
      </c>
      <c r="V1550">
        <f>IF(frame_units!E1547&lt;&gt;"",frame_units!F1547,NA())</f>
        <v/>
      </c>
    </row>
    <row r="1551">
      <c r="U1551">
        <f>IF(frame_units!E1548&lt;&gt;"",frame_units!E1548,NA())</f>
        <v/>
      </c>
      <c r="V1551">
        <f>IF(frame_units!E1548&lt;&gt;"",frame_units!F1548,NA())</f>
        <v/>
      </c>
    </row>
    <row r="1552">
      <c r="U1552">
        <f>IF(frame_units!E1549&lt;&gt;"",frame_units!E1549,NA())</f>
        <v/>
      </c>
      <c r="V1552">
        <f>IF(frame_units!E1549&lt;&gt;"",frame_units!F1549,NA())</f>
        <v/>
      </c>
    </row>
    <row r="1553">
      <c r="U1553">
        <f>IF(frame_units!E1550&lt;&gt;"",frame_units!E1550,NA())</f>
        <v/>
      </c>
      <c r="V1553">
        <f>IF(frame_units!E1550&lt;&gt;"",frame_units!F1550,NA())</f>
        <v/>
      </c>
    </row>
    <row r="1554">
      <c r="U1554">
        <f>IF(frame_units!E1551&lt;&gt;"",frame_units!E1551,NA())</f>
        <v/>
      </c>
      <c r="V1554">
        <f>IF(frame_units!E1551&lt;&gt;"",frame_units!F1551,NA())</f>
        <v/>
      </c>
    </row>
    <row r="1555">
      <c r="U1555">
        <f>IF(frame_units!E1552&lt;&gt;"",frame_units!E1552,NA())</f>
        <v/>
      </c>
      <c r="V1555">
        <f>IF(frame_units!E1552&lt;&gt;"",frame_units!F1552,NA())</f>
        <v/>
      </c>
    </row>
    <row r="1556">
      <c r="U1556">
        <f>IF(frame_units!E1553&lt;&gt;"",frame_units!E1553,NA())</f>
        <v/>
      </c>
      <c r="V1556">
        <f>IF(frame_units!E1553&lt;&gt;"",frame_units!F1553,NA())</f>
        <v/>
      </c>
    </row>
    <row r="1557">
      <c r="U1557">
        <f>IF(frame_units!E1554&lt;&gt;"",frame_units!E1554,NA())</f>
        <v/>
      </c>
      <c r="V1557">
        <f>IF(frame_units!E1554&lt;&gt;"",frame_units!F1554,NA())</f>
        <v/>
      </c>
    </row>
    <row r="1558">
      <c r="U1558">
        <f>IF(frame_units!E1555&lt;&gt;"",frame_units!E1555,NA())</f>
        <v/>
      </c>
      <c r="V1558">
        <f>IF(frame_units!E1555&lt;&gt;"",frame_units!F1555,NA())</f>
        <v/>
      </c>
    </row>
    <row r="1559">
      <c r="U1559">
        <f>IF(frame_units!E1556&lt;&gt;"",frame_units!E1556,NA())</f>
        <v/>
      </c>
      <c r="V1559">
        <f>IF(frame_units!E1556&lt;&gt;"",frame_units!F1556,NA())</f>
        <v/>
      </c>
    </row>
    <row r="1560">
      <c r="U1560">
        <f>IF(frame_units!E1557&lt;&gt;"",frame_units!E1557,NA())</f>
        <v/>
      </c>
      <c r="V1560">
        <f>IF(frame_units!E1557&lt;&gt;"",frame_units!F1557,NA())</f>
        <v/>
      </c>
    </row>
    <row r="1561">
      <c r="U1561">
        <f>IF(frame_units!E1558&lt;&gt;"",frame_units!E1558,NA())</f>
        <v/>
      </c>
      <c r="V1561">
        <f>IF(frame_units!E1558&lt;&gt;"",frame_units!F1558,NA())</f>
        <v/>
      </c>
    </row>
    <row r="1562">
      <c r="U1562">
        <f>IF(frame_units!E1559&lt;&gt;"",frame_units!E1559,NA())</f>
        <v/>
      </c>
      <c r="V1562">
        <f>IF(frame_units!E1559&lt;&gt;"",frame_units!F1559,NA())</f>
        <v/>
      </c>
    </row>
    <row r="1563">
      <c r="U1563">
        <f>IF(frame_units!E1560&lt;&gt;"",frame_units!E1560,NA())</f>
        <v/>
      </c>
      <c r="V1563">
        <f>IF(frame_units!E1560&lt;&gt;"",frame_units!F1560,NA())</f>
        <v/>
      </c>
    </row>
    <row r="1564">
      <c r="U1564">
        <f>IF(frame_units!E1561&lt;&gt;"",frame_units!E1561,NA())</f>
        <v/>
      </c>
      <c r="V1564">
        <f>IF(frame_units!E1561&lt;&gt;"",frame_units!F1561,NA())</f>
        <v/>
      </c>
    </row>
    <row r="1565">
      <c r="U1565">
        <f>IF(frame_units!E1562&lt;&gt;"",frame_units!E1562,NA())</f>
        <v/>
      </c>
      <c r="V1565">
        <f>IF(frame_units!E1562&lt;&gt;"",frame_units!F1562,NA())</f>
        <v/>
      </c>
    </row>
    <row r="1566">
      <c r="U1566">
        <f>IF(frame_units!E1563&lt;&gt;"",frame_units!E1563,NA())</f>
        <v/>
      </c>
      <c r="V1566">
        <f>IF(frame_units!E1563&lt;&gt;"",frame_units!F1563,NA())</f>
        <v/>
      </c>
    </row>
    <row r="1567">
      <c r="U1567">
        <f>IF(frame_units!E1564&lt;&gt;"",frame_units!E1564,NA())</f>
        <v/>
      </c>
      <c r="V1567">
        <f>IF(frame_units!E1564&lt;&gt;"",frame_units!F1564,NA())</f>
        <v/>
      </c>
    </row>
    <row r="1568">
      <c r="U1568">
        <f>IF(frame_units!E1565&lt;&gt;"",frame_units!E1565,NA())</f>
        <v/>
      </c>
      <c r="V1568">
        <f>IF(frame_units!E1565&lt;&gt;"",frame_units!F1565,NA())</f>
        <v/>
      </c>
    </row>
    <row r="1569">
      <c r="U1569">
        <f>IF(frame_units!E1566&lt;&gt;"",frame_units!E1566,NA())</f>
        <v/>
      </c>
      <c r="V1569">
        <f>IF(frame_units!E1566&lt;&gt;"",frame_units!F1566,NA())</f>
        <v/>
      </c>
    </row>
    <row r="1570">
      <c r="U1570">
        <f>IF(frame_units!E1567&lt;&gt;"",frame_units!E1567,NA())</f>
        <v/>
      </c>
      <c r="V1570">
        <f>IF(frame_units!E1567&lt;&gt;"",frame_units!F1567,NA())</f>
        <v/>
      </c>
    </row>
    <row r="1571">
      <c r="U1571">
        <f>IF(frame_units!E1568&lt;&gt;"",frame_units!E1568,NA())</f>
        <v/>
      </c>
      <c r="V1571">
        <f>IF(frame_units!E1568&lt;&gt;"",frame_units!F1568,NA())</f>
        <v/>
      </c>
    </row>
    <row r="1572">
      <c r="U1572">
        <f>IF(frame_units!E1569&lt;&gt;"",frame_units!E1569,NA())</f>
        <v/>
      </c>
      <c r="V1572">
        <f>IF(frame_units!E1569&lt;&gt;"",frame_units!F1569,NA())</f>
        <v/>
      </c>
    </row>
    <row r="1573">
      <c r="U1573">
        <f>IF(frame_units!E1570&lt;&gt;"",frame_units!E1570,NA())</f>
        <v/>
      </c>
      <c r="V1573">
        <f>IF(frame_units!E1570&lt;&gt;"",frame_units!F1570,NA())</f>
        <v/>
      </c>
    </row>
    <row r="1574">
      <c r="U1574">
        <f>IF(frame_units!E1571&lt;&gt;"",frame_units!E1571,NA())</f>
        <v/>
      </c>
      <c r="V1574">
        <f>IF(frame_units!E1571&lt;&gt;"",frame_units!F1571,NA())</f>
        <v/>
      </c>
    </row>
    <row r="1575">
      <c r="U1575">
        <f>IF(frame_units!E1572&lt;&gt;"",frame_units!E1572,NA())</f>
        <v/>
      </c>
      <c r="V1575">
        <f>IF(frame_units!E1572&lt;&gt;"",frame_units!F1572,NA())</f>
        <v/>
      </c>
    </row>
    <row r="1576">
      <c r="U1576">
        <f>IF(frame_units!E1573&lt;&gt;"",frame_units!E1573,NA())</f>
        <v/>
      </c>
      <c r="V1576">
        <f>IF(frame_units!E1573&lt;&gt;"",frame_units!F1573,NA())</f>
        <v/>
      </c>
    </row>
    <row r="1577">
      <c r="U1577">
        <f>IF(frame_units!E1574&lt;&gt;"",frame_units!E1574,NA())</f>
        <v/>
      </c>
      <c r="V1577">
        <f>IF(frame_units!E1574&lt;&gt;"",frame_units!F1574,NA())</f>
        <v/>
      </c>
    </row>
    <row r="1578">
      <c r="U1578">
        <f>IF(frame_units!E1575&lt;&gt;"",frame_units!E1575,NA())</f>
        <v/>
      </c>
      <c r="V1578">
        <f>IF(frame_units!E1575&lt;&gt;"",frame_units!F1575,NA())</f>
        <v/>
      </c>
    </row>
    <row r="1579">
      <c r="U1579">
        <f>IF(frame_units!E1576&lt;&gt;"",frame_units!E1576,NA())</f>
        <v/>
      </c>
      <c r="V1579">
        <f>IF(frame_units!E1576&lt;&gt;"",frame_units!F1576,NA())</f>
        <v/>
      </c>
    </row>
    <row r="1580">
      <c r="U1580">
        <f>IF(frame_units!E1577&lt;&gt;"",frame_units!E1577,NA())</f>
        <v/>
      </c>
      <c r="V1580">
        <f>IF(frame_units!E1577&lt;&gt;"",frame_units!F1577,NA())</f>
        <v/>
      </c>
    </row>
    <row r="1581">
      <c r="U1581">
        <f>IF(frame_units!E1578&lt;&gt;"",frame_units!E1578,NA())</f>
        <v/>
      </c>
      <c r="V1581">
        <f>IF(frame_units!E1578&lt;&gt;"",frame_units!F1578,NA())</f>
        <v/>
      </c>
    </row>
    <row r="1582">
      <c r="U1582">
        <f>IF(frame_units!E1579&lt;&gt;"",frame_units!E1579,NA())</f>
        <v/>
      </c>
      <c r="V1582">
        <f>IF(frame_units!E1579&lt;&gt;"",frame_units!F1579,NA())</f>
        <v/>
      </c>
    </row>
    <row r="1583">
      <c r="U1583">
        <f>IF(frame_units!E1580&lt;&gt;"",frame_units!E1580,NA())</f>
        <v/>
      </c>
      <c r="V1583">
        <f>IF(frame_units!E1580&lt;&gt;"",frame_units!F1580,NA())</f>
        <v/>
      </c>
    </row>
    <row r="1584">
      <c r="U1584">
        <f>IF(frame_units!E1581&lt;&gt;"",frame_units!E1581,NA())</f>
        <v/>
      </c>
      <c r="V1584">
        <f>IF(frame_units!E1581&lt;&gt;"",frame_units!F1581,NA())</f>
        <v/>
      </c>
    </row>
    <row r="1585">
      <c r="U1585">
        <f>IF(frame_units!E1582&lt;&gt;"",frame_units!E1582,NA())</f>
        <v/>
      </c>
      <c r="V1585">
        <f>IF(frame_units!E1582&lt;&gt;"",frame_units!F1582,NA())</f>
        <v/>
      </c>
    </row>
    <row r="1586">
      <c r="U1586">
        <f>IF(frame_units!E1583&lt;&gt;"",frame_units!E1583,NA())</f>
        <v/>
      </c>
      <c r="V1586">
        <f>IF(frame_units!E1583&lt;&gt;"",frame_units!F1583,NA())</f>
        <v/>
      </c>
    </row>
    <row r="1587">
      <c r="U1587">
        <f>IF(frame_units!E1584&lt;&gt;"",frame_units!E1584,NA())</f>
        <v/>
      </c>
      <c r="V1587">
        <f>IF(frame_units!E1584&lt;&gt;"",frame_units!F1584,NA())</f>
        <v/>
      </c>
    </row>
    <row r="1588">
      <c r="U1588">
        <f>IF(frame_units!E1585&lt;&gt;"",frame_units!E1585,NA())</f>
        <v/>
      </c>
      <c r="V1588">
        <f>IF(frame_units!E1585&lt;&gt;"",frame_units!F1585,NA())</f>
        <v/>
      </c>
    </row>
    <row r="1589">
      <c r="U1589">
        <f>IF(frame_units!E1586&lt;&gt;"",frame_units!E1586,NA())</f>
        <v/>
      </c>
      <c r="V1589">
        <f>IF(frame_units!E1586&lt;&gt;"",frame_units!F1586,NA())</f>
        <v/>
      </c>
    </row>
    <row r="1590">
      <c r="U1590">
        <f>IF(frame_units!E1587&lt;&gt;"",frame_units!E1587,NA())</f>
        <v/>
      </c>
      <c r="V1590">
        <f>IF(frame_units!E1587&lt;&gt;"",frame_units!F1587,NA())</f>
        <v/>
      </c>
    </row>
    <row r="1591">
      <c r="U1591">
        <f>IF(frame_units!E1588&lt;&gt;"",frame_units!E1588,NA())</f>
        <v/>
      </c>
      <c r="V1591">
        <f>IF(frame_units!E1588&lt;&gt;"",frame_units!F1588,NA())</f>
        <v/>
      </c>
    </row>
    <row r="1592">
      <c r="U1592">
        <f>IF(frame_units!E1589&lt;&gt;"",frame_units!E1589,NA())</f>
        <v/>
      </c>
      <c r="V1592">
        <f>IF(frame_units!E1589&lt;&gt;"",frame_units!F1589,NA())</f>
        <v/>
      </c>
    </row>
    <row r="1593">
      <c r="U1593">
        <f>IF(frame_units!E1590&lt;&gt;"",frame_units!E1590,NA())</f>
        <v/>
      </c>
      <c r="V1593">
        <f>IF(frame_units!E1590&lt;&gt;"",frame_units!F1590,NA())</f>
        <v/>
      </c>
    </row>
    <row r="1594">
      <c r="U1594">
        <f>IF(frame_units!E1591&lt;&gt;"",frame_units!E1591,NA())</f>
        <v/>
      </c>
      <c r="V1594">
        <f>IF(frame_units!E1591&lt;&gt;"",frame_units!F1591,NA())</f>
        <v/>
      </c>
    </row>
    <row r="1595">
      <c r="U1595">
        <f>IF(frame_units!E1592&lt;&gt;"",frame_units!E1592,NA())</f>
        <v/>
      </c>
      <c r="V1595">
        <f>IF(frame_units!E1592&lt;&gt;"",frame_units!F1592,NA())</f>
        <v/>
      </c>
    </row>
    <row r="1596">
      <c r="U1596">
        <f>IF(frame_units!E1593&lt;&gt;"",frame_units!E1593,NA())</f>
        <v/>
      </c>
      <c r="V1596">
        <f>IF(frame_units!E1593&lt;&gt;"",frame_units!F1593,NA())</f>
        <v/>
      </c>
    </row>
    <row r="1597">
      <c r="U1597">
        <f>IF(frame_units!E1594&lt;&gt;"",frame_units!E1594,NA())</f>
        <v/>
      </c>
      <c r="V1597">
        <f>IF(frame_units!E1594&lt;&gt;"",frame_units!F1594,NA())</f>
        <v/>
      </c>
    </row>
    <row r="1598">
      <c r="U1598">
        <f>IF(frame_units!E1595&lt;&gt;"",frame_units!E1595,NA())</f>
        <v/>
      </c>
      <c r="V1598">
        <f>IF(frame_units!E1595&lt;&gt;"",frame_units!F1595,NA())</f>
        <v/>
      </c>
    </row>
    <row r="1599">
      <c r="U1599">
        <f>IF(frame_units!E1596&lt;&gt;"",frame_units!E1596,NA())</f>
        <v/>
      </c>
      <c r="V1599">
        <f>IF(frame_units!E1596&lt;&gt;"",frame_units!F1596,NA())</f>
        <v/>
      </c>
    </row>
    <row r="1600">
      <c r="U1600">
        <f>IF(frame_units!E1597&lt;&gt;"",frame_units!E1597,NA())</f>
        <v/>
      </c>
      <c r="V1600">
        <f>IF(frame_units!E1597&lt;&gt;"",frame_units!F1597,NA())</f>
        <v/>
      </c>
    </row>
    <row r="1601">
      <c r="U1601">
        <f>IF(frame_units!E1598&lt;&gt;"",frame_units!E1598,NA())</f>
        <v/>
      </c>
      <c r="V1601">
        <f>IF(frame_units!E1598&lt;&gt;"",frame_units!F1598,NA())</f>
        <v/>
      </c>
    </row>
    <row r="1602">
      <c r="U1602">
        <f>IF(frame_units!E1599&lt;&gt;"",frame_units!E1599,NA())</f>
        <v/>
      </c>
      <c r="V1602">
        <f>IF(frame_units!E1599&lt;&gt;"",frame_units!F1599,NA())</f>
        <v/>
      </c>
    </row>
    <row r="1603">
      <c r="U1603">
        <f>IF(frame_units!E1600&lt;&gt;"",frame_units!E1600,NA())</f>
        <v/>
      </c>
      <c r="V1603">
        <f>IF(frame_units!E1600&lt;&gt;"",frame_units!F1600,NA())</f>
        <v/>
      </c>
    </row>
    <row r="1604">
      <c r="U1604">
        <f>IF(frame_units!E1601&lt;&gt;"",frame_units!E1601,NA())</f>
        <v/>
      </c>
      <c r="V1604">
        <f>IF(frame_units!E1601&lt;&gt;"",frame_units!F1601,NA())</f>
        <v/>
      </c>
    </row>
    <row r="1605">
      <c r="U1605">
        <f>IF(frame_units!E1602&lt;&gt;"",frame_units!E1602,NA())</f>
        <v/>
      </c>
      <c r="V1605">
        <f>IF(frame_units!E1602&lt;&gt;"",frame_units!F1602,NA())</f>
        <v/>
      </c>
    </row>
    <row r="1606">
      <c r="U1606">
        <f>IF(frame_units!E1603&lt;&gt;"",frame_units!E1603,NA())</f>
        <v/>
      </c>
      <c r="V1606">
        <f>IF(frame_units!E1603&lt;&gt;"",frame_units!F1603,NA())</f>
        <v/>
      </c>
    </row>
    <row r="1607">
      <c r="U1607">
        <f>IF(frame_units!E1604&lt;&gt;"",frame_units!E1604,NA())</f>
        <v/>
      </c>
      <c r="V1607">
        <f>IF(frame_units!E1604&lt;&gt;"",frame_units!F1604,NA())</f>
        <v/>
      </c>
    </row>
    <row r="1608">
      <c r="U1608">
        <f>IF(frame_units!E1605&lt;&gt;"",frame_units!E1605,NA())</f>
        <v/>
      </c>
      <c r="V1608">
        <f>IF(frame_units!E1605&lt;&gt;"",frame_units!F1605,NA())</f>
        <v/>
      </c>
    </row>
    <row r="1609">
      <c r="U1609">
        <f>IF(frame_units!E1606&lt;&gt;"",frame_units!E1606,NA())</f>
        <v/>
      </c>
      <c r="V1609">
        <f>IF(frame_units!E1606&lt;&gt;"",frame_units!F1606,NA())</f>
        <v/>
      </c>
    </row>
    <row r="1610">
      <c r="U1610">
        <f>IF(frame_units!E1607&lt;&gt;"",frame_units!E1607,NA())</f>
        <v/>
      </c>
      <c r="V1610">
        <f>IF(frame_units!E1607&lt;&gt;"",frame_units!F1607,NA())</f>
        <v/>
      </c>
    </row>
    <row r="1611">
      <c r="U1611">
        <f>IF(frame_units!E1608&lt;&gt;"",frame_units!E1608,NA())</f>
        <v/>
      </c>
      <c r="V1611">
        <f>IF(frame_units!E1608&lt;&gt;"",frame_units!F1608,NA())</f>
        <v/>
      </c>
    </row>
    <row r="1612">
      <c r="U1612">
        <f>IF(frame_units!E1609&lt;&gt;"",frame_units!E1609,NA())</f>
        <v/>
      </c>
      <c r="V1612">
        <f>IF(frame_units!E1609&lt;&gt;"",frame_units!F1609,NA())</f>
        <v/>
      </c>
    </row>
    <row r="1613">
      <c r="U1613">
        <f>IF(frame_units!E1610&lt;&gt;"",frame_units!E1610,NA())</f>
        <v/>
      </c>
      <c r="V1613">
        <f>IF(frame_units!E1610&lt;&gt;"",frame_units!F1610,NA())</f>
        <v/>
      </c>
    </row>
    <row r="1614">
      <c r="U1614">
        <f>IF(frame_units!E1611&lt;&gt;"",frame_units!E1611,NA())</f>
        <v/>
      </c>
      <c r="V1614">
        <f>IF(frame_units!E1611&lt;&gt;"",frame_units!F1611,NA())</f>
        <v/>
      </c>
    </row>
    <row r="1615">
      <c r="U1615">
        <f>IF(frame_units!E1612&lt;&gt;"",frame_units!E1612,NA())</f>
        <v/>
      </c>
      <c r="V1615">
        <f>IF(frame_units!E1612&lt;&gt;"",frame_units!F1612,NA())</f>
        <v/>
      </c>
    </row>
    <row r="1616">
      <c r="U1616">
        <f>IF(frame_units!E1613&lt;&gt;"",frame_units!E1613,NA())</f>
        <v/>
      </c>
      <c r="V1616">
        <f>IF(frame_units!E1613&lt;&gt;"",frame_units!F1613,NA())</f>
        <v/>
      </c>
    </row>
    <row r="1617">
      <c r="U1617">
        <f>IF(frame_units!E1614&lt;&gt;"",frame_units!E1614,NA())</f>
        <v/>
      </c>
      <c r="V1617">
        <f>IF(frame_units!E1614&lt;&gt;"",frame_units!F1614,NA())</f>
        <v/>
      </c>
    </row>
    <row r="1618">
      <c r="U1618">
        <f>IF(frame_units!E1615&lt;&gt;"",frame_units!E1615,NA())</f>
        <v/>
      </c>
      <c r="V1618">
        <f>IF(frame_units!E1615&lt;&gt;"",frame_units!F1615,NA())</f>
        <v/>
      </c>
    </row>
    <row r="1619">
      <c r="U1619">
        <f>IF(frame_units!E1616&lt;&gt;"",frame_units!E1616,NA())</f>
        <v/>
      </c>
      <c r="V1619">
        <f>IF(frame_units!E1616&lt;&gt;"",frame_units!F1616,NA())</f>
        <v/>
      </c>
    </row>
    <row r="1620">
      <c r="U1620">
        <f>IF(frame_units!E1617&lt;&gt;"",frame_units!E1617,NA())</f>
        <v/>
      </c>
      <c r="V1620">
        <f>IF(frame_units!E1617&lt;&gt;"",frame_units!F1617,NA())</f>
        <v/>
      </c>
    </row>
    <row r="1621">
      <c r="U1621">
        <f>IF(frame_units!E1618&lt;&gt;"",frame_units!E1618,NA())</f>
        <v/>
      </c>
      <c r="V1621">
        <f>IF(frame_units!E1618&lt;&gt;"",frame_units!F1618,NA())</f>
        <v/>
      </c>
    </row>
    <row r="1622">
      <c r="U1622">
        <f>IF(frame_units!E1619&lt;&gt;"",frame_units!E1619,NA())</f>
        <v/>
      </c>
      <c r="V1622">
        <f>IF(frame_units!E1619&lt;&gt;"",frame_units!F1619,NA())</f>
        <v/>
      </c>
    </row>
    <row r="1623">
      <c r="U1623">
        <f>IF(frame_units!E1620&lt;&gt;"",frame_units!E1620,NA())</f>
        <v/>
      </c>
      <c r="V1623">
        <f>IF(frame_units!E1620&lt;&gt;"",frame_units!F1620,NA())</f>
        <v/>
      </c>
    </row>
    <row r="1624">
      <c r="U1624">
        <f>IF(frame_units!E1621&lt;&gt;"",frame_units!E1621,NA())</f>
        <v/>
      </c>
      <c r="V1624">
        <f>IF(frame_units!E1621&lt;&gt;"",frame_units!F1621,NA())</f>
        <v/>
      </c>
    </row>
    <row r="1625">
      <c r="U1625">
        <f>IF(frame_units!E1622&lt;&gt;"",frame_units!E1622,NA())</f>
        <v/>
      </c>
      <c r="V1625">
        <f>IF(frame_units!E1622&lt;&gt;"",frame_units!F1622,NA())</f>
        <v/>
      </c>
    </row>
    <row r="1626">
      <c r="U1626">
        <f>IF(frame_units!E1623&lt;&gt;"",frame_units!E1623,NA())</f>
        <v/>
      </c>
      <c r="V1626">
        <f>IF(frame_units!E1623&lt;&gt;"",frame_units!F1623,NA())</f>
        <v/>
      </c>
    </row>
    <row r="1627">
      <c r="U1627">
        <f>IF(frame_units!E1624&lt;&gt;"",frame_units!E1624,NA())</f>
        <v/>
      </c>
      <c r="V1627">
        <f>IF(frame_units!E1624&lt;&gt;"",frame_units!F1624,NA())</f>
        <v/>
      </c>
    </row>
    <row r="1628">
      <c r="U1628">
        <f>IF(frame_units!E1625&lt;&gt;"",frame_units!E1625,NA())</f>
        <v/>
      </c>
      <c r="V1628">
        <f>IF(frame_units!E1625&lt;&gt;"",frame_units!F1625,NA())</f>
        <v/>
      </c>
    </row>
    <row r="1629">
      <c r="U1629">
        <f>IF(frame_units!E1626&lt;&gt;"",frame_units!E1626,NA())</f>
        <v/>
      </c>
      <c r="V1629">
        <f>IF(frame_units!E1626&lt;&gt;"",frame_units!F1626,NA())</f>
        <v/>
      </c>
    </row>
    <row r="1630">
      <c r="U1630">
        <f>IF(frame_units!E1627&lt;&gt;"",frame_units!E1627,NA())</f>
        <v/>
      </c>
      <c r="V1630">
        <f>IF(frame_units!E1627&lt;&gt;"",frame_units!F1627,NA())</f>
        <v/>
      </c>
    </row>
    <row r="1631">
      <c r="U1631">
        <f>IF(frame_units!E1628&lt;&gt;"",frame_units!E1628,NA())</f>
        <v/>
      </c>
      <c r="V1631">
        <f>IF(frame_units!E1628&lt;&gt;"",frame_units!F1628,NA())</f>
        <v/>
      </c>
    </row>
    <row r="1632">
      <c r="U1632">
        <f>IF(frame_units!E1629&lt;&gt;"",frame_units!E1629,NA())</f>
        <v/>
      </c>
      <c r="V1632">
        <f>IF(frame_units!E1629&lt;&gt;"",frame_units!F1629,NA())</f>
        <v/>
      </c>
    </row>
    <row r="1633">
      <c r="U1633">
        <f>IF(frame_units!E1630&lt;&gt;"",frame_units!E1630,NA())</f>
        <v/>
      </c>
      <c r="V1633">
        <f>IF(frame_units!E1630&lt;&gt;"",frame_units!F1630,NA())</f>
        <v/>
      </c>
    </row>
    <row r="1634">
      <c r="U1634">
        <f>IF(frame_units!E1631&lt;&gt;"",frame_units!E1631,NA())</f>
        <v/>
      </c>
      <c r="V1634">
        <f>IF(frame_units!E1631&lt;&gt;"",frame_units!F1631,NA())</f>
        <v/>
      </c>
    </row>
    <row r="1635">
      <c r="U1635">
        <f>IF(frame_units!E1632&lt;&gt;"",frame_units!E1632,NA())</f>
        <v/>
      </c>
      <c r="V1635">
        <f>IF(frame_units!E1632&lt;&gt;"",frame_units!F1632,NA())</f>
        <v/>
      </c>
    </row>
    <row r="1636">
      <c r="U1636">
        <f>IF(frame_units!E1633&lt;&gt;"",frame_units!E1633,NA())</f>
        <v/>
      </c>
      <c r="V1636">
        <f>IF(frame_units!E1633&lt;&gt;"",frame_units!F1633,NA())</f>
        <v/>
      </c>
    </row>
    <row r="1637">
      <c r="U1637">
        <f>IF(frame_units!E1634&lt;&gt;"",frame_units!E1634,NA())</f>
        <v/>
      </c>
      <c r="V1637">
        <f>IF(frame_units!E1634&lt;&gt;"",frame_units!F1634,NA())</f>
        <v/>
      </c>
    </row>
    <row r="1638">
      <c r="U1638">
        <f>IF(frame_units!E1635&lt;&gt;"",frame_units!E1635,NA())</f>
        <v/>
      </c>
      <c r="V1638">
        <f>IF(frame_units!E1635&lt;&gt;"",frame_units!F1635,NA())</f>
        <v/>
      </c>
    </row>
    <row r="1639">
      <c r="U1639">
        <f>IF(frame_units!E1636&lt;&gt;"",frame_units!E1636,NA())</f>
        <v/>
      </c>
      <c r="V1639">
        <f>IF(frame_units!E1636&lt;&gt;"",frame_units!F1636,NA())</f>
        <v/>
      </c>
    </row>
    <row r="1640">
      <c r="U1640">
        <f>IF(frame_units!E1637&lt;&gt;"",frame_units!E1637,NA())</f>
        <v/>
      </c>
      <c r="V1640">
        <f>IF(frame_units!E1637&lt;&gt;"",frame_units!F1637,NA())</f>
        <v/>
      </c>
    </row>
    <row r="1641">
      <c r="U1641">
        <f>IF(frame_units!E1638&lt;&gt;"",frame_units!E1638,NA())</f>
        <v/>
      </c>
      <c r="V1641">
        <f>IF(frame_units!E1638&lt;&gt;"",frame_units!F1638,NA())</f>
        <v/>
      </c>
    </row>
    <row r="1642">
      <c r="U1642">
        <f>IF(frame_units!E1639&lt;&gt;"",frame_units!E1639,NA())</f>
        <v/>
      </c>
      <c r="V1642">
        <f>IF(frame_units!E1639&lt;&gt;"",frame_units!F1639,NA())</f>
        <v/>
      </c>
    </row>
    <row r="1643">
      <c r="U1643">
        <f>IF(frame_units!E1640&lt;&gt;"",frame_units!E1640,NA())</f>
        <v/>
      </c>
      <c r="V1643">
        <f>IF(frame_units!E1640&lt;&gt;"",frame_units!F1640,NA())</f>
        <v/>
      </c>
    </row>
    <row r="1644">
      <c r="U1644">
        <f>IF(frame_units!E1641&lt;&gt;"",frame_units!E1641,NA())</f>
        <v/>
      </c>
      <c r="V1644">
        <f>IF(frame_units!E1641&lt;&gt;"",frame_units!F1641,NA())</f>
        <v/>
      </c>
    </row>
    <row r="1645">
      <c r="U1645">
        <f>IF(frame_units!E1642&lt;&gt;"",frame_units!E1642,NA())</f>
        <v/>
      </c>
      <c r="V1645">
        <f>IF(frame_units!E1642&lt;&gt;"",frame_units!F1642,NA())</f>
        <v/>
      </c>
    </row>
    <row r="1646">
      <c r="U1646">
        <f>IF(frame_units!E1643&lt;&gt;"",frame_units!E1643,NA())</f>
        <v/>
      </c>
      <c r="V1646">
        <f>IF(frame_units!E1643&lt;&gt;"",frame_units!F1643,NA())</f>
        <v/>
      </c>
    </row>
    <row r="1647">
      <c r="U1647">
        <f>IF(frame_units!E1644&lt;&gt;"",frame_units!E1644,NA())</f>
        <v/>
      </c>
      <c r="V1647">
        <f>IF(frame_units!E1644&lt;&gt;"",frame_units!F1644,NA())</f>
        <v/>
      </c>
    </row>
    <row r="1648">
      <c r="U1648">
        <f>IF(frame_units!E1645&lt;&gt;"",frame_units!E1645,NA())</f>
        <v/>
      </c>
      <c r="V1648">
        <f>IF(frame_units!E1645&lt;&gt;"",frame_units!F1645,NA())</f>
        <v/>
      </c>
    </row>
    <row r="1649">
      <c r="U1649">
        <f>IF(frame_units!E1646&lt;&gt;"",frame_units!E1646,NA())</f>
        <v/>
      </c>
      <c r="V1649">
        <f>IF(frame_units!E1646&lt;&gt;"",frame_units!F1646,NA())</f>
        <v/>
      </c>
    </row>
    <row r="1650">
      <c r="U1650">
        <f>IF(frame_units!E1647&lt;&gt;"",frame_units!E1647,NA())</f>
        <v/>
      </c>
      <c r="V1650">
        <f>IF(frame_units!E1647&lt;&gt;"",frame_units!F1647,NA())</f>
        <v/>
      </c>
    </row>
    <row r="1651">
      <c r="U1651">
        <f>IF(frame_units!E1648&lt;&gt;"",frame_units!E1648,NA())</f>
        <v/>
      </c>
      <c r="V1651">
        <f>IF(frame_units!E1648&lt;&gt;"",frame_units!F1648,NA())</f>
        <v/>
      </c>
    </row>
    <row r="1652">
      <c r="U1652">
        <f>IF(frame_units!E1649&lt;&gt;"",frame_units!E1649,NA())</f>
        <v/>
      </c>
      <c r="V1652">
        <f>IF(frame_units!E1649&lt;&gt;"",frame_units!F1649,NA())</f>
        <v/>
      </c>
    </row>
    <row r="1653">
      <c r="U1653">
        <f>IF(frame_units!E1650&lt;&gt;"",frame_units!E1650,NA())</f>
        <v/>
      </c>
      <c r="V1653">
        <f>IF(frame_units!E1650&lt;&gt;"",frame_units!F1650,NA())</f>
        <v/>
      </c>
    </row>
    <row r="1654">
      <c r="U1654">
        <f>IF(frame_units!E1651&lt;&gt;"",frame_units!E1651,NA())</f>
        <v/>
      </c>
      <c r="V1654">
        <f>IF(frame_units!E1651&lt;&gt;"",frame_units!F1651,NA())</f>
        <v/>
      </c>
    </row>
    <row r="1655">
      <c r="U1655">
        <f>IF(frame_units!E1652&lt;&gt;"",frame_units!E1652,NA())</f>
        <v/>
      </c>
      <c r="V1655">
        <f>IF(frame_units!E1652&lt;&gt;"",frame_units!F1652,NA())</f>
        <v/>
      </c>
    </row>
    <row r="1656">
      <c r="U1656">
        <f>IF(frame_units!E1653&lt;&gt;"",frame_units!E1653,NA())</f>
        <v/>
      </c>
      <c r="V1656">
        <f>IF(frame_units!E1653&lt;&gt;"",frame_units!F1653,NA())</f>
        <v/>
      </c>
    </row>
    <row r="1657">
      <c r="U1657">
        <f>IF(frame_units!E1654&lt;&gt;"",frame_units!E1654,NA())</f>
        <v/>
      </c>
      <c r="V1657">
        <f>IF(frame_units!E1654&lt;&gt;"",frame_units!F1654,NA())</f>
        <v/>
      </c>
    </row>
    <row r="1658">
      <c r="U1658">
        <f>IF(frame_units!E1655&lt;&gt;"",frame_units!E1655,NA())</f>
        <v/>
      </c>
      <c r="V1658">
        <f>IF(frame_units!E1655&lt;&gt;"",frame_units!F1655,NA())</f>
        <v/>
      </c>
    </row>
    <row r="1659">
      <c r="U1659">
        <f>IF(frame_units!E1656&lt;&gt;"",frame_units!E1656,NA())</f>
        <v/>
      </c>
      <c r="V1659">
        <f>IF(frame_units!E1656&lt;&gt;"",frame_units!F1656,NA())</f>
        <v/>
      </c>
    </row>
    <row r="1660">
      <c r="U1660">
        <f>IF(frame_units!E1657&lt;&gt;"",frame_units!E1657,NA())</f>
        <v/>
      </c>
      <c r="V1660">
        <f>IF(frame_units!E1657&lt;&gt;"",frame_units!F1657,NA())</f>
        <v/>
      </c>
    </row>
    <row r="1661">
      <c r="U1661">
        <f>IF(frame_units!E1658&lt;&gt;"",frame_units!E1658,NA())</f>
        <v/>
      </c>
      <c r="V1661">
        <f>IF(frame_units!E1658&lt;&gt;"",frame_units!F1658,NA())</f>
        <v/>
      </c>
    </row>
    <row r="1662">
      <c r="U1662">
        <f>IF(frame_units!E1659&lt;&gt;"",frame_units!E1659,NA())</f>
        <v/>
      </c>
      <c r="V1662">
        <f>IF(frame_units!E1659&lt;&gt;"",frame_units!F1659,NA())</f>
        <v/>
      </c>
    </row>
    <row r="1663">
      <c r="U1663">
        <f>IF(frame_units!E1660&lt;&gt;"",frame_units!E1660,NA())</f>
        <v/>
      </c>
      <c r="V1663">
        <f>IF(frame_units!E1660&lt;&gt;"",frame_units!F1660,NA())</f>
        <v/>
      </c>
    </row>
    <row r="1664">
      <c r="U1664">
        <f>IF(frame_units!E1661&lt;&gt;"",frame_units!E1661,NA())</f>
        <v/>
      </c>
      <c r="V1664">
        <f>IF(frame_units!E1661&lt;&gt;"",frame_units!F1661,NA())</f>
        <v/>
      </c>
    </row>
    <row r="1665">
      <c r="U1665">
        <f>IF(frame_units!E1662&lt;&gt;"",frame_units!E1662,NA())</f>
        <v/>
      </c>
      <c r="V1665">
        <f>IF(frame_units!E1662&lt;&gt;"",frame_units!F1662,NA())</f>
        <v/>
      </c>
    </row>
    <row r="1666">
      <c r="U1666">
        <f>IF(frame_units!E1663&lt;&gt;"",frame_units!E1663,NA())</f>
        <v/>
      </c>
      <c r="V1666">
        <f>IF(frame_units!E1663&lt;&gt;"",frame_units!F1663,NA())</f>
        <v/>
      </c>
    </row>
    <row r="1667">
      <c r="U1667">
        <f>IF(frame_units!E1664&lt;&gt;"",frame_units!E1664,NA())</f>
        <v/>
      </c>
      <c r="V1667">
        <f>IF(frame_units!E1664&lt;&gt;"",frame_units!F1664,NA())</f>
        <v/>
      </c>
    </row>
    <row r="1668">
      <c r="U1668">
        <f>IF(frame_units!E1665&lt;&gt;"",frame_units!E1665,NA())</f>
        <v/>
      </c>
      <c r="V1668">
        <f>IF(frame_units!E1665&lt;&gt;"",frame_units!F1665,NA())</f>
        <v/>
      </c>
    </row>
    <row r="1669">
      <c r="U1669">
        <f>IF(frame_units!E1666&lt;&gt;"",frame_units!E1666,NA())</f>
        <v/>
      </c>
      <c r="V1669">
        <f>IF(frame_units!E1666&lt;&gt;"",frame_units!F1666,NA())</f>
        <v/>
      </c>
    </row>
    <row r="1670">
      <c r="U1670">
        <f>IF(frame_units!E1667&lt;&gt;"",frame_units!E1667,NA())</f>
        <v/>
      </c>
      <c r="V1670">
        <f>IF(frame_units!E1667&lt;&gt;"",frame_units!F1667,NA())</f>
        <v/>
      </c>
    </row>
    <row r="1671">
      <c r="U1671">
        <f>IF(frame_units!E1668&lt;&gt;"",frame_units!E1668,NA())</f>
        <v/>
      </c>
      <c r="V1671">
        <f>IF(frame_units!E1668&lt;&gt;"",frame_units!F1668,NA())</f>
        <v/>
      </c>
    </row>
    <row r="1672">
      <c r="U1672">
        <f>IF(frame_units!E1669&lt;&gt;"",frame_units!E1669,NA())</f>
        <v/>
      </c>
      <c r="V1672">
        <f>IF(frame_units!E1669&lt;&gt;"",frame_units!F1669,NA())</f>
        <v/>
      </c>
    </row>
    <row r="1673">
      <c r="U1673">
        <f>IF(frame_units!E1670&lt;&gt;"",frame_units!E1670,NA())</f>
        <v/>
      </c>
      <c r="V1673">
        <f>IF(frame_units!E1670&lt;&gt;"",frame_units!F1670,NA())</f>
        <v/>
      </c>
    </row>
    <row r="1674">
      <c r="U1674">
        <f>IF(frame_units!E1671&lt;&gt;"",frame_units!E1671,NA())</f>
        <v/>
      </c>
      <c r="V1674">
        <f>IF(frame_units!E1671&lt;&gt;"",frame_units!F1671,NA())</f>
        <v/>
      </c>
    </row>
    <row r="1675">
      <c r="U1675">
        <f>IF(frame_units!E1672&lt;&gt;"",frame_units!E1672,NA())</f>
        <v/>
      </c>
      <c r="V1675">
        <f>IF(frame_units!E1672&lt;&gt;"",frame_units!F1672,NA())</f>
        <v/>
      </c>
    </row>
    <row r="1676">
      <c r="U1676">
        <f>IF(frame_units!E1673&lt;&gt;"",frame_units!E1673,NA())</f>
        <v/>
      </c>
      <c r="V1676">
        <f>IF(frame_units!E1673&lt;&gt;"",frame_units!F1673,NA())</f>
        <v/>
      </c>
    </row>
    <row r="1677">
      <c r="U1677">
        <f>IF(frame_units!E1674&lt;&gt;"",frame_units!E1674,NA())</f>
        <v/>
      </c>
      <c r="V1677">
        <f>IF(frame_units!E1674&lt;&gt;"",frame_units!F1674,NA())</f>
        <v/>
      </c>
    </row>
    <row r="1678">
      <c r="U1678">
        <f>IF(frame_units!E1675&lt;&gt;"",frame_units!E1675,NA())</f>
        <v/>
      </c>
      <c r="V1678">
        <f>IF(frame_units!E1675&lt;&gt;"",frame_units!F1675,NA())</f>
        <v/>
      </c>
    </row>
    <row r="1679">
      <c r="U1679">
        <f>IF(frame_units!E1676&lt;&gt;"",frame_units!E1676,NA())</f>
        <v/>
      </c>
      <c r="V1679">
        <f>IF(frame_units!E1676&lt;&gt;"",frame_units!F1676,NA())</f>
        <v/>
      </c>
    </row>
    <row r="1680">
      <c r="U1680">
        <f>IF(frame_units!E1677&lt;&gt;"",frame_units!E1677,NA())</f>
        <v/>
      </c>
      <c r="V1680">
        <f>IF(frame_units!E1677&lt;&gt;"",frame_units!F1677,NA())</f>
        <v/>
      </c>
    </row>
    <row r="1681">
      <c r="U1681">
        <f>IF(frame_units!E1678&lt;&gt;"",frame_units!E1678,NA())</f>
        <v/>
      </c>
      <c r="V1681">
        <f>IF(frame_units!E1678&lt;&gt;"",frame_units!F1678,NA())</f>
        <v/>
      </c>
    </row>
    <row r="1682">
      <c r="U1682">
        <f>IF(frame_units!E1679&lt;&gt;"",frame_units!E1679,NA())</f>
        <v/>
      </c>
      <c r="V1682">
        <f>IF(frame_units!E1679&lt;&gt;"",frame_units!F1679,NA())</f>
        <v/>
      </c>
    </row>
    <row r="1683">
      <c r="U1683">
        <f>IF(frame_units!E1680&lt;&gt;"",frame_units!E1680,NA())</f>
        <v/>
      </c>
      <c r="V1683">
        <f>IF(frame_units!E1680&lt;&gt;"",frame_units!F1680,NA())</f>
        <v/>
      </c>
    </row>
    <row r="1684">
      <c r="U1684">
        <f>IF(frame_units!E1681&lt;&gt;"",frame_units!E1681,NA())</f>
        <v/>
      </c>
      <c r="V1684">
        <f>IF(frame_units!E1681&lt;&gt;"",frame_units!F1681,NA())</f>
        <v/>
      </c>
    </row>
    <row r="1685">
      <c r="U1685">
        <f>IF(frame_units!E1682&lt;&gt;"",frame_units!E1682,NA())</f>
        <v/>
      </c>
      <c r="V1685">
        <f>IF(frame_units!E1682&lt;&gt;"",frame_units!F1682,NA())</f>
        <v/>
      </c>
    </row>
    <row r="1686">
      <c r="U1686">
        <f>IF(frame_units!E1683&lt;&gt;"",frame_units!E1683,NA())</f>
        <v/>
      </c>
      <c r="V1686">
        <f>IF(frame_units!E1683&lt;&gt;"",frame_units!F1683,NA())</f>
        <v/>
      </c>
    </row>
    <row r="1687">
      <c r="U1687">
        <f>IF(frame_units!E1684&lt;&gt;"",frame_units!E1684,NA())</f>
        <v/>
      </c>
      <c r="V1687">
        <f>IF(frame_units!E1684&lt;&gt;"",frame_units!F1684,NA())</f>
        <v/>
      </c>
    </row>
    <row r="1688">
      <c r="U1688">
        <f>IF(frame_units!E1685&lt;&gt;"",frame_units!E1685,NA())</f>
        <v/>
      </c>
      <c r="V1688">
        <f>IF(frame_units!E1685&lt;&gt;"",frame_units!F1685,NA())</f>
        <v/>
      </c>
    </row>
    <row r="1689">
      <c r="U1689">
        <f>IF(frame_units!E1686&lt;&gt;"",frame_units!E1686,NA())</f>
        <v/>
      </c>
      <c r="V1689">
        <f>IF(frame_units!E1686&lt;&gt;"",frame_units!F1686,NA())</f>
        <v/>
      </c>
    </row>
    <row r="1690">
      <c r="U1690">
        <f>IF(frame_units!E1687&lt;&gt;"",frame_units!E1687,NA())</f>
        <v/>
      </c>
      <c r="V1690">
        <f>IF(frame_units!E1687&lt;&gt;"",frame_units!F1687,NA())</f>
        <v/>
      </c>
    </row>
    <row r="1691">
      <c r="U1691">
        <f>IF(frame_units!E1688&lt;&gt;"",frame_units!E1688,NA())</f>
        <v/>
      </c>
      <c r="V1691">
        <f>IF(frame_units!E1688&lt;&gt;"",frame_units!F1688,NA())</f>
        <v/>
      </c>
    </row>
    <row r="1692">
      <c r="U1692">
        <f>IF(frame_units!E1689&lt;&gt;"",frame_units!E1689,NA())</f>
        <v/>
      </c>
      <c r="V1692">
        <f>IF(frame_units!E1689&lt;&gt;"",frame_units!F1689,NA())</f>
        <v/>
      </c>
    </row>
    <row r="1693">
      <c r="U1693">
        <f>IF(frame_units!E1690&lt;&gt;"",frame_units!E1690,NA())</f>
        <v/>
      </c>
      <c r="V1693">
        <f>IF(frame_units!E1690&lt;&gt;"",frame_units!F1690,NA())</f>
        <v/>
      </c>
    </row>
    <row r="1694">
      <c r="U1694">
        <f>IF(frame_units!E1691&lt;&gt;"",frame_units!E1691,NA())</f>
        <v/>
      </c>
      <c r="V1694">
        <f>IF(frame_units!E1691&lt;&gt;"",frame_units!F1691,NA())</f>
        <v/>
      </c>
    </row>
    <row r="1695">
      <c r="U1695">
        <f>IF(frame_units!E1692&lt;&gt;"",frame_units!E1692,NA())</f>
        <v/>
      </c>
      <c r="V1695">
        <f>IF(frame_units!E1692&lt;&gt;"",frame_units!F1692,NA())</f>
        <v/>
      </c>
    </row>
    <row r="1696">
      <c r="U1696">
        <f>IF(frame_units!E1693&lt;&gt;"",frame_units!E1693,NA())</f>
        <v/>
      </c>
      <c r="V1696">
        <f>IF(frame_units!E1693&lt;&gt;"",frame_units!F1693,NA())</f>
        <v/>
      </c>
    </row>
    <row r="1697">
      <c r="U1697">
        <f>IF(frame_units!E1694&lt;&gt;"",frame_units!E1694,NA())</f>
        <v/>
      </c>
      <c r="V1697">
        <f>IF(frame_units!E1694&lt;&gt;"",frame_units!F1694,NA())</f>
        <v/>
      </c>
    </row>
    <row r="1698">
      <c r="U1698">
        <f>IF(frame_units!E1695&lt;&gt;"",frame_units!E1695,NA())</f>
        <v/>
      </c>
      <c r="V1698">
        <f>IF(frame_units!E1695&lt;&gt;"",frame_units!F1695,NA())</f>
        <v/>
      </c>
    </row>
    <row r="1699">
      <c r="U1699">
        <f>IF(frame_units!E1696&lt;&gt;"",frame_units!E1696,NA())</f>
        <v/>
      </c>
      <c r="V1699">
        <f>IF(frame_units!E1696&lt;&gt;"",frame_units!F1696,NA())</f>
        <v/>
      </c>
    </row>
    <row r="1700">
      <c r="U1700">
        <f>IF(frame_units!E1697&lt;&gt;"",frame_units!E1697,NA())</f>
        <v/>
      </c>
      <c r="V1700">
        <f>IF(frame_units!E1697&lt;&gt;"",frame_units!F1697,NA())</f>
        <v/>
      </c>
    </row>
    <row r="1701">
      <c r="U1701">
        <f>IF(frame_units!E1698&lt;&gt;"",frame_units!E1698,NA())</f>
        <v/>
      </c>
      <c r="V1701">
        <f>IF(frame_units!E1698&lt;&gt;"",frame_units!F1698,NA())</f>
        <v/>
      </c>
    </row>
    <row r="1702">
      <c r="U1702">
        <f>IF(frame_units!E1699&lt;&gt;"",frame_units!E1699,NA())</f>
        <v/>
      </c>
      <c r="V1702">
        <f>IF(frame_units!E1699&lt;&gt;"",frame_units!F1699,NA())</f>
        <v/>
      </c>
    </row>
    <row r="1703">
      <c r="U1703">
        <f>IF(frame_units!E1700&lt;&gt;"",frame_units!E1700,NA())</f>
        <v/>
      </c>
      <c r="V1703">
        <f>IF(frame_units!E1700&lt;&gt;"",frame_units!F1700,NA())</f>
        <v/>
      </c>
    </row>
    <row r="1704">
      <c r="U1704">
        <f>IF(frame_units!E1701&lt;&gt;"",frame_units!E1701,NA())</f>
        <v/>
      </c>
      <c r="V1704">
        <f>IF(frame_units!E1701&lt;&gt;"",frame_units!F1701,NA())</f>
        <v/>
      </c>
    </row>
    <row r="1705">
      <c r="U1705">
        <f>IF(frame_units!E1702&lt;&gt;"",frame_units!E1702,NA())</f>
        <v/>
      </c>
      <c r="V1705">
        <f>IF(frame_units!E1702&lt;&gt;"",frame_units!F1702,NA())</f>
        <v/>
      </c>
    </row>
    <row r="1706">
      <c r="U1706">
        <f>IF(frame_units!E1703&lt;&gt;"",frame_units!E1703,NA())</f>
        <v/>
      </c>
      <c r="V1706">
        <f>IF(frame_units!E1703&lt;&gt;"",frame_units!F1703,NA())</f>
        <v/>
      </c>
    </row>
    <row r="1707">
      <c r="U1707">
        <f>IF(frame_units!E1704&lt;&gt;"",frame_units!E1704,NA())</f>
        <v/>
      </c>
      <c r="V1707">
        <f>IF(frame_units!E1704&lt;&gt;"",frame_units!F1704,NA())</f>
        <v/>
      </c>
    </row>
    <row r="1708">
      <c r="U1708">
        <f>IF(frame_units!E1705&lt;&gt;"",frame_units!E1705,NA())</f>
        <v/>
      </c>
      <c r="V1708">
        <f>IF(frame_units!E1705&lt;&gt;"",frame_units!F1705,NA())</f>
        <v/>
      </c>
    </row>
    <row r="1709">
      <c r="U1709">
        <f>IF(frame_units!E1706&lt;&gt;"",frame_units!E1706,NA())</f>
        <v/>
      </c>
      <c r="V1709">
        <f>IF(frame_units!E1706&lt;&gt;"",frame_units!F1706,NA())</f>
        <v/>
      </c>
    </row>
    <row r="1710">
      <c r="U1710">
        <f>IF(frame_units!E1707&lt;&gt;"",frame_units!E1707,NA())</f>
        <v/>
      </c>
      <c r="V1710">
        <f>IF(frame_units!E1707&lt;&gt;"",frame_units!F1707,NA())</f>
        <v/>
      </c>
    </row>
    <row r="1711">
      <c r="U1711">
        <f>IF(frame_units!E1708&lt;&gt;"",frame_units!E1708,NA())</f>
        <v/>
      </c>
      <c r="V1711">
        <f>IF(frame_units!E1708&lt;&gt;"",frame_units!F1708,NA())</f>
        <v/>
      </c>
    </row>
    <row r="1712">
      <c r="U1712">
        <f>IF(frame_units!E1709&lt;&gt;"",frame_units!E1709,NA())</f>
        <v/>
      </c>
      <c r="V1712">
        <f>IF(frame_units!E1709&lt;&gt;"",frame_units!F1709,NA())</f>
        <v/>
      </c>
    </row>
    <row r="1713">
      <c r="U1713">
        <f>IF(frame_units!E1710&lt;&gt;"",frame_units!E1710,NA())</f>
        <v/>
      </c>
      <c r="V1713">
        <f>IF(frame_units!E1710&lt;&gt;"",frame_units!F1710,NA())</f>
        <v/>
      </c>
    </row>
    <row r="1714">
      <c r="U1714">
        <f>IF(frame_units!E1711&lt;&gt;"",frame_units!E1711,NA())</f>
        <v/>
      </c>
      <c r="V1714">
        <f>IF(frame_units!E1711&lt;&gt;"",frame_units!F1711,NA())</f>
        <v/>
      </c>
    </row>
    <row r="1715">
      <c r="U1715">
        <f>IF(frame_units!E1712&lt;&gt;"",frame_units!E1712,NA())</f>
        <v/>
      </c>
      <c r="V1715">
        <f>IF(frame_units!E1712&lt;&gt;"",frame_units!F1712,NA())</f>
        <v/>
      </c>
    </row>
    <row r="1716">
      <c r="U1716">
        <f>IF(frame_units!E1713&lt;&gt;"",frame_units!E1713,NA())</f>
        <v/>
      </c>
      <c r="V1716">
        <f>IF(frame_units!E1713&lt;&gt;"",frame_units!F1713,NA())</f>
        <v/>
      </c>
    </row>
    <row r="1717">
      <c r="U1717">
        <f>IF(frame_units!E1714&lt;&gt;"",frame_units!E1714,NA())</f>
        <v/>
      </c>
      <c r="V1717">
        <f>IF(frame_units!E1714&lt;&gt;"",frame_units!F1714,NA())</f>
        <v/>
      </c>
    </row>
    <row r="1718">
      <c r="U1718">
        <f>IF(frame_units!E1715&lt;&gt;"",frame_units!E1715,NA())</f>
        <v/>
      </c>
      <c r="V1718">
        <f>IF(frame_units!E1715&lt;&gt;"",frame_units!F1715,NA())</f>
        <v/>
      </c>
    </row>
    <row r="1719">
      <c r="U1719">
        <f>IF(frame_units!E1716&lt;&gt;"",frame_units!E1716,NA())</f>
        <v/>
      </c>
      <c r="V1719">
        <f>IF(frame_units!E1716&lt;&gt;"",frame_units!F1716,NA())</f>
        <v/>
      </c>
    </row>
    <row r="1720">
      <c r="U1720">
        <f>IF(frame_units!E1717&lt;&gt;"",frame_units!E1717,NA())</f>
        <v/>
      </c>
      <c r="V1720">
        <f>IF(frame_units!E1717&lt;&gt;"",frame_units!F1717,NA())</f>
        <v/>
      </c>
    </row>
    <row r="1721">
      <c r="U1721">
        <f>IF(frame_units!E1718&lt;&gt;"",frame_units!E1718,NA())</f>
        <v/>
      </c>
      <c r="V1721">
        <f>IF(frame_units!E1718&lt;&gt;"",frame_units!F1718,NA())</f>
        <v/>
      </c>
    </row>
    <row r="1722">
      <c r="U1722">
        <f>IF(frame_units!E1719&lt;&gt;"",frame_units!E1719,NA())</f>
        <v/>
      </c>
      <c r="V1722">
        <f>IF(frame_units!E1719&lt;&gt;"",frame_units!F1719,NA())</f>
        <v/>
      </c>
    </row>
    <row r="1723">
      <c r="U1723">
        <f>IF(frame_units!E1720&lt;&gt;"",frame_units!E1720,NA())</f>
        <v/>
      </c>
      <c r="V1723">
        <f>IF(frame_units!E1720&lt;&gt;"",frame_units!F1720,NA())</f>
        <v/>
      </c>
    </row>
    <row r="1724">
      <c r="U1724">
        <f>IF(frame_units!E1721&lt;&gt;"",frame_units!E1721,NA())</f>
        <v/>
      </c>
      <c r="V1724">
        <f>IF(frame_units!E1721&lt;&gt;"",frame_units!F1721,NA())</f>
        <v/>
      </c>
    </row>
    <row r="1725">
      <c r="U1725">
        <f>IF(frame_units!E1722&lt;&gt;"",frame_units!E1722,NA())</f>
        <v/>
      </c>
      <c r="V1725">
        <f>IF(frame_units!E1722&lt;&gt;"",frame_units!F1722,NA())</f>
        <v/>
      </c>
    </row>
    <row r="1726">
      <c r="U1726">
        <f>IF(frame_units!E1723&lt;&gt;"",frame_units!E1723,NA())</f>
        <v/>
      </c>
      <c r="V1726">
        <f>IF(frame_units!E1723&lt;&gt;"",frame_units!F1723,NA())</f>
        <v/>
      </c>
    </row>
    <row r="1727">
      <c r="U1727">
        <f>IF(frame_units!E1724&lt;&gt;"",frame_units!E1724,NA())</f>
        <v/>
      </c>
      <c r="V1727">
        <f>IF(frame_units!E1724&lt;&gt;"",frame_units!F1724,NA())</f>
        <v/>
      </c>
    </row>
    <row r="1728">
      <c r="U1728">
        <f>IF(frame_units!E1725&lt;&gt;"",frame_units!E1725,NA())</f>
        <v/>
      </c>
      <c r="V1728">
        <f>IF(frame_units!E1725&lt;&gt;"",frame_units!F1725,NA())</f>
        <v/>
      </c>
    </row>
    <row r="1729">
      <c r="U1729">
        <f>IF(frame_units!E1726&lt;&gt;"",frame_units!E1726,NA())</f>
        <v/>
      </c>
      <c r="V1729">
        <f>IF(frame_units!E1726&lt;&gt;"",frame_units!F1726,NA())</f>
        <v/>
      </c>
    </row>
    <row r="1730">
      <c r="U1730">
        <f>IF(frame_units!E1727&lt;&gt;"",frame_units!E1727,NA())</f>
        <v/>
      </c>
      <c r="V1730">
        <f>IF(frame_units!E1727&lt;&gt;"",frame_units!F1727,NA())</f>
        <v/>
      </c>
    </row>
    <row r="1731">
      <c r="U1731">
        <f>IF(frame_units!E1728&lt;&gt;"",frame_units!E1728,NA())</f>
        <v/>
      </c>
      <c r="V1731">
        <f>IF(frame_units!E1728&lt;&gt;"",frame_units!F1728,NA())</f>
        <v/>
      </c>
    </row>
    <row r="1732">
      <c r="U1732">
        <f>IF(frame_units!E1729&lt;&gt;"",frame_units!E1729,NA())</f>
        <v/>
      </c>
      <c r="V1732">
        <f>IF(frame_units!E1729&lt;&gt;"",frame_units!F1729,NA())</f>
        <v/>
      </c>
    </row>
    <row r="1733">
      <c r="U1733">
        <f>IF(frame_units!E1730&lt;&gt;"",frame_units!E1730,NA())</f>
        <v/>
      </c>
      <c r="V1733">
        <f>IF(frame_units!E1730&lt;&gt;"",frame_units!F1730,NA())</f>
        <v/>
      </c>
    </row>
    <row r="1734">
      <c r="U1734">
        <f>IF(frame_units!E1731&lt;&gt;"",frame_units!E1731,NA())</f>
        <v/>
      </c>
      <c r="V1734">
        <f>IF(frame_units!E1731&lt;&gt;"",frame_units!F1731,NA())</f>
        <v/>
      </c>
    </row>
    <row r="1735">
      <c r="U1735">
        <f>IF(frame_units!E1732&lt;&gt;"",frame_units!E1732,NA())</f>
        <v/>
      </c>
      <c r="V1735">
        <f>IF(frame_units!E1732&lt;&gt;"",frame_units!F1732,NA())</f>
        <v/>
      </c>
    </row>
    <row r="1736">
      <c r="U1736">
        <f>IF(frame_units!E1733&lt;&gt;"",frame_units!E1733,NA())</f>
        <v/>
      </c>
      <c r="V1736">
        <f>IF(frame_units!E1733&lt;&gt;"",frame_units!F1733,NA())</f>
        <v/>
      </c>
    </row>
    <row r="1737">
      <c r="U1737">
        <f>IF(frame_units!E1734&lt;&gt;"",frame_units!E1734,NA())</f>
        <v/>
      </c>
      <c r="V1737">
        <f>IF(frame_units!E1734&lt;&gt;"",frame_units!F1734,NA())</f>
        <v/>
      </c>
    </row>
    <row r="1738">
      <c r="U1738">
        <f>IF(frame_units!E1735&lt;&gt;"",frame_units!E1735,NA())</f>
        <v/>
      </c>
      <c r="V1738">
        <f>IF(frame_units!E1735&lt;&gt;"",frame_units!F1735,NA())</f>
        <v/>
      </c>
    </row>
    <row r="1739">
      <c r="U1739">
        <f>IF(frame_units!E1736&lt;&gt;"",frame_units!E1736,NA())</f>
        <v/>
      </c>
      <c r="V1739">
        <f>IF(frame_units!E1736&lt;&gt;"",frame_units!F1736,NA())</f>
        <v/>
      </c>
    </row>
    <row r="1740">
      <c r="U1740">
        <f>IF(frame_units!E1737&lt;&gt;"",frame_units!E1737,NA())</f>
        <v/>
      </c>
      <c r="V1740">
        <f>IF(frame_units!E1737&lt;&gt;"",frame_units!F1737,NA())</f>
        <v/>
      </c>
    </row>
    <row r="1741">
      <c r="U1741">
        <f>IF(frame_units!E1738&lt;&gt;"",frame_units!E1738,NA())</f>
        <v/>
      </c>
      <c r="V1741">
        <f>IF(frame_units!E1738&lt;&gt;"",frame_units!F1738,NA())</f>
        <v/>
      </c>
    </row>
    <row r="1742">
      <c r="U1742">
        <f>IF(frame_units!E1739&lt;&gt;"",frame_units!E1739,NA())</f>
        <v/>
      </c>
      <c r="V1742">
        <f>IF(frame_units!E1739&lt;&gt;"",frame_units!F1739,NA())</f>
        <v/>
      </c>
    </row>
    <row r="1743">
      <c r="U1743">
        <f>IF(frame_units!E1740&lt;&gt;"",frame_units!E1740,NA())</f>
        <v/>
      </c>
      <c r="V1743">
        <f>IF(frame_units!E1740&lt;&gt;"",frame_units!F1740,NA())</f>
        <v/>
      </c>
    </row>
    <row r="1744">
      <c r="U1744">
        <f>IF(frame_units!E1741&lt;&gt;"",frame_units!E1741,NA())</f>
        <v/>
      </c>
      <c r="V1744">
        <f>IF(frame_units!E1741&lt;&gt;"",frame_units!F1741,NA())</f>
        <v/>
      </c>
    </row>
    <row r="1745">
      <c r="U1745">
        <f>IF(frame_units!E1742&lt;&gt;"",frame_units!E1742,NA())</f>
        <v/>
      </c>
      <c r="V1745">
        <f>IF(frame_units!E1742&lt;&gt;"",frame_units!F1742,NA())</f>
        <v/>
      </c>
    </row>
    <row r="1746">
      <c r="U1746">
        <f>IF(frame_units!E1743&lt;&gt;"",frame_units!E1743,NA())</f>
        <v/>
      </c>
      <c r="V1746">
        <f>IF(frame_units!E1743&lt;&gt;"",frame_units!F1743,NA())</f>
        <v/>
      </c>
    </row>
    <row r="1747">
      <c r="U1747">
        <f>IF(frame_units!E1744&lt;&gt;"",frame_units!E1744,NA())</f>
        <v/>
      </c>
      <c r="V1747">
        <f>IF(frame_units!E1744&lt;&gt;"",frame_units!F1744,NA())</f>
        <v/>
      </c>
    </row>
    <row r="1748">
      <c r="U1748">
        <f>IF(frame_units!E1745&lt;&gt;"",frame_units!E1745,NA())</f>
        <v/>
      </c>
      <c r="V1748">
        <f>IF(frame_units!E1745&lt;&gt;"",frame_units!F1745,NA())</f>
        <v/>
      </c>
    </row>
    <row r="1749">
      <c r="U1749">
        <f>IF(frame_units!E1746&lt;&gt;"",frame_units!E1746,NA())</f>
        <v/>
      </c>
      <c r="V1749">
        <f>IF(frame_units!E1746&lt;&gt;"",frame_units!F1746,NA())</f>
        <v/>
      </c>
    </row>
    <row r="1750">
      <c r="U1750">
        <f>IF(frame_units!E1747&lt;&gt;"",frame_units!E1747,NA())</f>
        <v/>
      </c>
      <c r="V1750">
        <f>IF(frame_units!E1747&lt;&gt;"",frame_units!F1747,NA())</f>
        <v/>
      </c>
    </row>
    <row r="1751">
      <c r="U1751">
        <f>IF(frame_units!E1748&lt;&gt;"",frame_units!E1748,NA())</f>
        <v/>
      </c>
      <c r="V1751">
        <f>IF(frame_units!E1748&lt;&gt;"",frame_units!F1748,NA())</f>
        <v/>
      </c>
    </row>
    <row r="1752">
      <c r="U1752">
        <f>IF(frame_units!E1749&lt;&gt;"",frame_units!E1749,NA())</f>
        <v/>
      </c>
      <c r="V1752">
        <f>IF(frame_units!E1749&lt;&gt;"",frame_units!F1749,NA())</f>
        <v/>
      </c>
    </row>
    <row r="1753">
      <c r="U1753">
        <f>IF(frame_units!E1750&lt;&gt;"",frame_units!E1750,NA())</f>
        <v/>
      </c>
      <c r="V1753">
        <f>IF(frame_units!E1750&lt;&gt;"",frame_units!F1750,NA())</f>
        <v/>
      </c>
    </row>
    <row r="1754">
      <c r="U1754">
        <f>IF(frame_units!E1751&lt;&gt;"",frame_units!E1751,NA())</f>
        <v/>
      </c>
      <c r="V1754">
        <f>IF(frame_units!E1751&lt;&gt;"",frame_units!F1751,NA())</f>
        <v/>
      </c>
    </row>
    <row r="1755">
      <c r="U1755">
        <f>IF(frame_units!E1752&lt;&gt;"",frame_units!E1752,NA())</f>
        <v/>
      </c>
      <c r="V1755">
        <f>IF(frame_units!E1752&lt;&gt;"",frame_units!F1752,NA())</f>
        <v/>
      </c>
    </row>
    <row r="1756">
      <c r="U1756">
        <f>IF(frame_units!E1753&lt;&gt;"",frame_units!E1753,NA())</f>
        <v/>
      </c>
      <c r="V1756">
        <f>IF(frame_units!E1753&lt;&gt;"",frame_units!F1753,NA())</f>
        <v/>
      </c>
    </row>
    <row r="1757">
      <c r="U1757">
        <f>IF(frame_units!E1754&lt;&gt;"",frame_units!E1754,NA())</f>
        <v/>
      </c>
      <c r="V1757">
        <f>IF(frame_units!E1754&lt;&gt;"",frame_units!F1754,NA())</f>
        <v/>
      </c>
    </row>
    <row r="1758">
      <c r="U1758">
        <f>IF(frame_units!E1755&lt;&gt;"",frame_units!E1755,NA())</f>
        <v/>
      </c>
      <c r="V1758">
        <f>IF(frame_units!E1755&lt;&gt;"",frame_units!F1755,NA())</f>
        <v/>
      </c>
    </row>
    <row r="1759">
      <c r="U1759">
        <f>IF(frame_units!E1756&lt;&gt;"",frame_units!E1756,NA())</f>
        <v/>
      </c>
      <c r="V1759">
        <f>IF(frame_units!E1756&lt;&gt;"",frame_units!F1756,NA())</f>
        <v/>
      </c>
    </row>
    <row r="1760">
      <c r="U1760">
        <f>IF(frame_units!E1757&lt;&gt;"",frame_units!E1757,NA())</f>
        <v/>
      </c>
      <c r="V1760">
        <f>IF(frame_units!E1757&lt;&gt;"",frame_units!F1757,NA())</f>
        <v/>
      </c>
    </row>
    <row r="1761">
      <c r="U1761">
        <f>IF(frame_units!E1758&lt;&gt;"",frame_units!E1758,NA())</f>
        <v/>
      </c>
      <c r="V1761">
        <f>IF(frame_units!E1758&lt;&gt;"",frame_units!F1758,NA())</f>
        <v/>
      </c>
    </row>
    <row r="1762">
      <c r="U1762">
        <f>IF(frame_units!E1759&lt;&gt;"",frame_units!E1759,NA())</f>
        <v/>
      </c>
      <c r="V1762">
        <f>IF(frame_units!E1759&lt;&gt;"",frame_units!F1759,NA())</f>
        <v/>
      </c>
    </row>
    <row r="1763">
      <c r="U1763">
        <f>IF(frame_units!E1760&lt;&gt;"",frame_units!E1760,NA())</f>
        <v/>
      </c>
      <c r="V1763">
        <f>IF(frame_units!E1760&lt;&gt;"",frame_units!F1760,NA())</f>
        <v/>
      </c>
    </row>
    <row r="1764">
      <c r="U1764">
        <f>IF(frame_units!E1761&lt;&gt;"",frame_units!E1761,NA())</f>
        <v/>
      </c>
      <c r="V1764">
        <f>IF(frame_units!E1761&lt;&gt;"",frame_units!F1761,NA())</f>
        <v/>
      </c>
    </row>
    <row r="1765">
      <c r="U1765">
        <f>IF(frame_units!E1762&lt;&gt;"",frame_units!E1762,NA())</f>
        <v/>
      </c>
      <c r="V1765">
        <f>IF(frame_units!E1762&lt;&gt;"",frame_units!F1762,NA())</f>
        <v/>
      </c>
    </row>
    <row r="1766">
      <c r="U1766">
        <f>IF(frame_units!E1763&lt;&gt;"",frame_units!E1763,NA())</f>
        <v/>
      </c>
      <c r="V1766">
        <f>IF(frame_units!E1763&lt;&gt;"",frame_units!F1763,NA())</f>
        <v/>
      </c>
    </row>
    <row r="1767">
      <c r="U1767">
        <f>IF(frame_units!E1764&lt;&gt;"",frame_units!E1764,NA())</f>
        <v/>
      </c>
      <c r="V1767">
        <f>IF(frame_units!E1764&lt;&gt;"",frame_units!F1764,NA())</f>
        <v/>
      </c>
    </row>
    <row r="1768">
      <c r="U1768">
        <f>IF(frame_units!E1765&lt;&gt;"",frame_units!E1765,NA())</f>
        <v/>
      </c>
      <c r="V1768">
        <f>IF(frame_units!E1765&lt;&gt;"",frame_units!F1765,NA())</f>
        <v/>
      </c>
    </row>
    <row r="1769">
      <c r="U1769">
        <f>IF(frame_units!E1766&lt;&gt;"",frame_units!E1766,NA())</f>
        <v/>
      </c>
      <c r="V1769">
        <f>IF(frame_units!E1766&lt;&gt;"",frame_units!F1766,NA())</f>
        <v/>
      </c>
    </row>
    <row r="1770">
      <c r="U1770">
        <f>IF(frame_units!E1767&lt;&gt;"",frame_units!E1767,NA())</f>
        <v/>
      </c>
      <c r="V1770">
        <f>IF(frame_units!E1767&lt;&gt;"",frame_units!F1767,NA())</f>
        <v/>
      </c>
    </row>
    <row r="1771">
      <c r="U1771">
        <f>IF(frame_units!E1768&lt;&gt;"",frame_units!E1768,NA())</f>
        <v/>
      </c>
      <c r="V1771">
        <f>IF(frame_units!E1768&lt;&gt;"",frame_units!F1768,NA())</f>
        <v/>
      </c>
    </row>
    <row r="1772">
      <c r="U1772">
        <f>IF(frame_units!E1769&lt;&gt;"",frame_units!E1769,NA())</f>
        <v/>
      </c>
      <c r="V1772">
        <f>IF(frame_units!E1769&lt;&gt;"",frame_units!F1769,NA())</f>
        <v/>
      </c>
    </row>
    <row r="1773">
      <c r="U1773">
        <f>IF(frame_units!E1770&lt;&gt;"",frame_units!E1770,NA())</f>
        <v/>
      </c>
      <c r="V1773">
        <f>IF(frame_units!E1770&lt;&gt;"",frame_units!F1770,NA())</f>
        <v/>
      </c>
    </row>
    <row r="1774">
      <c r="U1774">
        <f>IF(frame_units!E1771&lt;&gt;"",frame_units!E1771,NA())</f>
        <v/>
      </c>
      <c r="V1774">
        <f>IF(frame_units!E1771&lt;&gt;"",frame_units!F1771,NA())</f>
        <v/>
      </c>
    </row>
    <row r="1775">
      <c r="U1775">
        <f>IF(frame_units!E1772&lt;&gt;"",frame_units!E1772,NA())</f>
        <v/>
      </c>
      <c r="V1775">
        <f>IF(frame_units!E1772&lt;&gt;"",frame_units!F1772,NA())</f>
        <v/>
      </c>
    </row>
    <row r="1776">
      <c r="U1776">
        <f>IF(frame_units!E1773&lt;&gt;"",frame_units!E1773,NA())</f>
        <v/>
      </c>
      <c r="V1776">
        <f>IF(frame_units!E1773&lt;&gt;"",frame_units!F1773,NA())</f>
        <v/>
      </c>
    </row>
    <row r="1777">
      <c r="U1777">
        <f>IF(frame_units!E1774&lt;&gt;"",frame_units!E1774,NA())</f>
        <v/>
      </c>
      <c r="V1777">
        <f>IF(frame_units!E1774&lt;&gt;"",frame_units!F1774,NA())</f>
        <v/>
      </c>
    </row>
    <row r="1778">
      <c r="U1778">
        <f>IF(frame_units!E1775&lt;&gt;"",frame_units!E1775,NA())</f>
        <v/>
      </c>
      <c r="V1778">
        <f>IF(frame_units!E1775&lt;&gt;"",frame_units!F1775,NA())</f>
        <v/>
      </c>
    </row>
    <row r="1779">
      <c r="U1779">
        <f>IF(frame_units!E1776&lt;&gt;"",frame_units!E1776,NA())</f>
        <v/>
      </c>
      <c r="V1779">
        <f>IF(frame_units!E1776&lt;&gt;"",frame_units!F1776,NA())</f>
        <v/>
      </c>
    </row>
    <row r="1780">
      <c r="U1780">
        <f>IF(frame_units!E1777&lt;&gt;"",frame_units!E1777,NA())</f>
        <v/>
      </c>
      <c r="V1780">
        <f>IF(frame_units!E1777&lt;&gt;"",frame_units!F1777,NA())</f>
        <v/>
      </c>
    </row>
    <row r="1781">
      <c r="U1781">
        <f>IF(frame_units!E1778&lt;&gt;"",frame_units!E1778,NA())</f>
        <v/>
      </c>
      <c r="V1781">
        <f>IF(frame_units!E1778&lt;&gt;"",frame_units!F1778,NA())</f>
        <v/>
      </c>
    </row>
    <row r="1782">
      <c r="U1782">
        <f>IF(frame_units!E1779&lt;&gt;"",frame_units!E1779,NA())</f>
        <v/>
      </c>
      <c r="V1782">
        <f>IF(frame_units!E1779&lt;&gt;"",frame_units!F1779,NA())</f>
        <v/>
      </c>
    </row>
    <row r="1783">
      <c r="U1783">
        <f>IF(frame_units!E1780&lt;&gt;"",frame_units!E1780,NA())</f>
        <v/>
      </c>
      <c r="V1783">
        <f>IF(frame_units!E1780&lt;&gt;"",frame_units!F1780,NA())</f>
        <v/>
      </c>
    </row>
    <row r="1784">
      <c r="U1784">
        <f>IF(frame_units!E1781&lt;&gt;"",frame_units!E1781,NA())</f>
        <v/>
      </c>
      <c r="V1784">
        <f>IF(frame_units!E1781&lt;&gt;"",frame_units!F1781,NA())</f>
        <v/>
      </c>
    </row>
    <row r="1785">
      <c r="U1785">
        <f>IF(frame_units!E1782&lt;&gt;"",frame_units!E1782,NA())</f>
        <v/>
      </c>
      <c r="V1785">
        <f>IF(frame_units!E1782&lt;&gt;"",frame_units!F1782,NA())</f>
        <v/>
      </c>
    </row>
    <row r="1786">
      <c r="U1786">
        <f>IF(frame_units!E1783&lt;&gt;"",frame_units!E1783,NA())</f>
        <v/>
      </c>
      <c r="V1786">
        <f>IF(frame_units!E1783&lt;&gt;"",frame_units!F1783,NA())</f>
        <v/>
      </c>
    </row>
    <row r="1787">
      <c r="U1787">
        <f>IF(frame_units!E1784&lt;&gt;"",frame_units!E1784,NA())</f>
        <v/>
      </c>
      <c r="V1787">
        <f>IF(frame_units!E1784&lt;&gt;"",frame_units!F1784,NA())</f>
        <v/>
      </c>
    </row>
    <row r="1788">
      <c r="U1788">
        <f>IF(frame_units!E1785&lt;&gt;"",frame_units!E1785,NA())</f>
        <v/>
      </c>
      <c r="V1788">
        <f>IF(frame_units!E1785&lt;&gt;"",frame_units!F1785,NA())</f>
        <v/>
      </c>
    </row>
    <row r="1789">
      <c r="U1789">
        <f>IF(frame_units!E1786&lt;&gt;"",frame_units!E1786,NA())</f>
        <v/>
      </c>
      <c r="V1789">
        <f>IF(frame_units!E1786&lt;&gt;"",frame_units!F1786,NA())</f>
        <v/>
      </c>
    </row>
    <row r="1790">
      <c r="U1790">
        <f>IF(frame_units!E1787&lt;&gt;"",frame_units!E1787,NA())</f>
        <v/>
      </c>
      <c r="V1790">
        <f>IF(frame_units!E1787&lt;&gt;"",frame_units!F1787,NA())</f>
        <v/>
      </c>
    </row>
    <row r="1791">
      <c r="U1791">
        <f>IF(frame_units!E1788&lt;&gt;"",frame_units!E1788,NA())</f>
        <v/>
      </c>
      <c r="V1791">
        <f>IF(frame_units!E1788&lt;&gt;"",frame_units!F1788,NA())</f>
        <v/>
      </c>
    </row>
    <row r="1792">
      <c r="U1792">
        <f>IF(frame_units!E1789&lt;&gt;"",frame_units!E1789,NA())</f>
        <v/>
      </c>
      <c r="V1792">
        <f>IF(frame_units!E1789&lt;&gt;"",frame_units!F1789,NA())</f>
        <v/>
      </c>
    </row>
    <row r="1793">
      <c r="U1793">
        <f>IF(frame_units!E1790&lt;&gt;"",frame_units!E1790,NA())</f>
        <v/>
      </c>
      <c r="V1793">
        <f>IF(frame_units!E1790&lt;&gt;"",frame_units!F1790,NA())</f>
        <v/>
      </c>
    </row>
    <row r="1794">
      <c r="U1794">
        <f>IF(frame_units!E1791&lt;&gt;"",frame_units!E1791,NA())</f>
        <v/>
      </c>
      <c r="V1794">
        <f>IF(frame_units!E1791&lt;&gt;"",frame_units!F1791,NA())</f>
        <v/>
      </c>
    </row>
    <row r="1795">
      <c r="U1795">
        <f>IF(frame_units!E1792&lt;&gt;"",frame_units!E1792,NA())</f>
        <v/>
      </c>
      <c r="V1795">
        <f>IF(frame_units!E1792&lt;&gt;"",frame_units!F1792,NA())</f>
        <v/>
      </c>
    </row>
    <row r="1796">
      <c r="U1796">
        <f>IF(frame_units!E1793&lt;&gt;"",frame_units!E1793,NA())</f>
        <v/>
      </c>
      <c r="V1796">
        <f>IF(frame_units!E1793&lt;&gt;"",frame_units!F1793,NA())</f>
        <v/>
      </c>
    </row>
    <row r="1797">
      <c r="U1797">
        <f>IF(frame_units!E1794&lt;&gt;"",frame_units!E1794,NA())</f>
        <v/>
      </c>
      <c r="V1797">
        <f>IF(frame_units!E1794&lt;&gt;"",frame_units!F1794,NA())</f>
        <v/>
      </c>
    </row>
    <row r="1798">
      <c r="U1798">
        <f>IF(frame_units!E1795&lt;&gt;"",frame_units!E1795,NA())</f>
        <v/>
      </c>
      <c r="V1798">
        <f>IF(frame_units!E1795&lt;&gt;"",frame_units!F1795,NA())</f>
        <v/>
      </c>
    </row>
    <row r="1799">
      <c r="U1799">
        <f>IF(frame_units!E1796&lt;&gt;"",frame_units!E1796,NA())</f>
        <v/>
      </c>
      <c r="V1799">
        <f>IF(frame_units!E1796&lt;&gt;"",frame_units!F1796,NA())</f>
        <v/>
      </c>
    </row>
    <row r="1800">
      <c r="U1800">
        <f>IF(frame_units!E1797&lt;&gt;"",frame_units!E1797,NA())</f>
        <v/>
      </c>
      <c r="V1800">
        <f>IF(frame_units!E1797&lt;&gt;"",frame_units!F1797,NA())</f>
        <v/>
      </c>
    </row>
    <row r="1801">
      <c r="U1801">
        <f>IF(frame_units!E1798&lt;&gt;"",frame_units!E1798,NA())</f>
        <v/>
      </c>
      <c r="V1801">
        <f>IF(frame_units!E1798&lt;&gt;"",frame_units!F1798,NA())</f>
        <v/>
      </c>
    </row>
    <row r="1802">
      <c r="U1802">
        <f>IF(frame_units!E1799&lt;&gt;"",frame_units!E1799,NA())</f>
        <v/>
      </c>
      <c r="V1802">
        <f>IF(frame_units!E1799&lt;&gt;"",frame_units!F1799,NA())</f>
        <v/>
      </c>
    </row>
    <row r="1803">
      <c r="U1803">
        <f>IF(frame_units!E1800&lt;&gt;"",frame_units!E1800,NA())</f>
        <v/>
      </c>
      <c r="V1803">
        <f>IF(frame_units!E1800&lt;&gt;"",frame_units!F1800,NA())</f>
        <v/>
      </c>
    </row>
    <row r="1804">
      <c r="U1804">
        <f>IF(frame_units!E1801&lt;&gt;"",frame_units!E1801,NA())</f>
        <v/>
      </c>
      <c r="V1804">
        <f>IF(frame_units!E1801&lt;&gt;"",frame_units!F1801,NA())</f>
        <v/>
      </c>
    </row>
    <row r="1805">
      <c r="U1805">
        <f>IF(frame_units!E1802&lt;&gt;"",frame_units!E1802,NA())</f>
        <v/>
      </c>
      <c r="V1805">
        <f>IF(frame_units!E1802&lt;&gt;"",frame_units!F1802,NA())</f>
        <v/>
      </c>
    </row>
    <row r="1806">
      <c r="U1806">
        <f>IF(frame_units!E1803&lt;&gt;"",frame_units!E1803,NA())</f>
        <v/>
      </c>
      <c r="V1806">
        <f>IF(frame_units!E1803&lt;&gt;"",frame_units!F1803,NA())</f>
        <v/>
      </c>
    </row>
    <row r="1807">
      <c r="U1807">
        <f>IF(frame_units!E1804&lt;&gt;"",frame_units!E1804,NA())</f>
        <v/>
      </c>
      <c r="V1807">
        <f>IF(frame_units!E1804&lt;&gt;"",frame_units!F1804,NA())</f>
        <v/>
      </c>
    </row>
    <row r="1808">
      <c r="U1808">
        <f>IF(frame_units!E1805&lt;&gt;"",frame_units!E1805,NA())</f>
        <v/>
      </c>
      <c r="V1808">
        <f>IF(frame_units!E1805&lt;&gt;"",frame_units!F1805,NA())</f>
        <v/>
      </c>
    </row>
    <row r="1809">
      <c r="U1809">
        <f>IF(frame_units!E1806&lt;&gt;"",frame_units!E1806,NA())</f>
        <v/>
      </c>
      <c r="V1809">
        <f>IF(frame_units!E1806&lt;&gt;"",frame_units!F1806,NA())</f>
        <v/>
      </c>
    </row>
    <row r="1810">
      <c r="U1810">
        <f>IF(frame_units!E1807&lt;&gt;"",frame_units!E1807,NA())</f>
        <v/>
      </c>
      <c r="V1810">
        <f>IF(frame_units!E1807&lt;&gt;"",frame_units!F1807,NA())</f>
        <v/>
      </c>
    </row>
    <row r="1811">
      <c r="U1811">
        <f>IF(frame_units!E1808&lt;&gt;"",frame_units!E1808,NA())</f>
        <v/>
      </c>
      <c r="V1811">
        <f>IF(frame_units!E1808&lt;&gt;"",frame_units!F1808,NA())</f>
        <v/>
      </c>
    </row>
    <row r="1812">
      <c r="U1812">
        <f>IF(frame_units!E1809&lt;&gt;"",frame_units!E1809,NA())</f>
        <v/>
      </c>
      <c r="V1812">
        <f>IF(frame_units!E1809&lt;&gt;"",frame_units!F1809,NA())</f>
        <v/>
      </c>
    </row>
    <row r="1813">
      <c r="U1813">
        <f>IF(frame_units!E1810&lt;&gt;"",frame_units!E1810,NA())</f>
        <v/>
      </c>
      <c r="V1813">
        <f>IF(frame_units!E1810&lt;&gt;"",frame_units!F1810,NA())</f>
        <v/>
      </c>
    </row>
    <row r="1814">
      <c r="U1814">
        <f>IF(frame_units!E1811&lt;&gt;"",frame_units!E1811,NA())</f>
        <v/>
      </c>
      <c r="V1814">
        <f>IF(frame_units!E1811&lt;&gt;"",frame_units!F1811,NA())</f>
        <v/>
      </c>
    </row>
    <row r="1815">
      <c r="U1815">
        <f>IF(frame_units!E1812&lt;&gt;"",frame_units!E1812,NA())</f>
        <v/>
      </c>
      <c r="V1815">
        <f>IF(frame_units!E1812&lt;&gt;"",frame_units!F1812,NA())</f>
        <v/>
      </c>
    </row>
    <row r="1816">
      <c r="U1816">
        <f>IF(frame_units!E1813&lt;&gt;"",frame_units!E1813,NA())</f>
        <v/>
      </c>
      <c r="V1816">
        <f>IF(frame_units!E1813&lt;&gt;"",frame_units!F1813,NA())</f>
        <v/>
      </c>
    </row>
    <row r="1817">
      <c r="U1817">
        <f>IF(frame_units!E1814&lt;&gt;"",frame_units!E1814,NA())</f>
        <v/>
      </c>
      <c r="V1817">
        <f>IF(frame_units!E1814&lt;&gt;"",frame_units!F1814,NA())</f>
        <v/>
      </c>
    </row>
    <row r="1818">
      <c r="U1818">
        <f>IF(frame_units!E1815&lt;&gt;"",frame_units!E1815,NA())</f>
        <v/>
      </c>
      <c r="V1818">
        <f>IF(frame_units!E1815&lt;&gt;"",frame_units!F1815,NA())</f>
        <v/>
      </c>
    </row>
    <row r="1819">
      <c r="U1819">
        <f>IF(frame_units!E1816&lt;&gt;"",frame_units!E1816,NA())</f>
        <v/>
      </c>
      <c r="V1819">
        <f>IF(frame_units!E1816&lt;&gt;"",frame_units!F1816,NA())</f>
        <v/>
      </c>
    </row>
    <row r="1820">
      <c r="U1820">
        <f>IF(frame_units!E1817&lt;&gt;"",frame_units!E1817,NA())</f>
        <v/>
      </c>
      <c r="V1820">
        <f>IF(frame_units!E1817&lt;&gt;"",frame_units!F1817,NA())</f>
        <v/>
      </c>
    </row>
    <row r="1821">
      <c r="U1821">
        <f>IF(frame_units!E1818&lt;&gt;"",frame_units!E1818,NA())</f>
        <v/>
      </c>
      <c r="V1821">
        <f>IF(frame_units!E1818&lt;&gt;"",frame_units!F1818,NA())</f>
        <v/>
      </c>
    </row>
    <row r="1822">
      <c r="U1822">
        <f>IF(frame_units!E1819&lt;&gt;"",frame_units!E1819,NA())</f>
        <v/>
      </c>
      <c r="V1822">
        <f>IF(frame_units!E1819&lt;&gt;"",frame_units!F1819,NA())</f>
        <v/>
      </c>
    </row>
    <row r="1823">
      <c r="U1823">
        <f>IF(frame_units!E1820&lt;&gt;"",frame_units!E1820,NA())</f>
        <v/>
      </c>
      <c r="V1823">
        <f>IF(frame_units!E1820&lt;&gt;"",frame_units!F1820,NA())</f>
        <v/>
      </c>
    </row>
    <row r="1824">
      <c r="U1824">
        <f>IF(frame_units!E1821&lt;&gt;"",frame_units!E1821,NA())</f>
        <v/>
      </c>
      <c r="V1824">
        <f>IF(frame_units!E1821&lt;&gt;"",frame_units!F1821,NA())</f>
        <v/>
      </c>
    </row>
    <row r="1825">
      <c r="U1825">
        <f>IF(frame_units!E1822&lt;&gt;"",frame_units!E1822,NA())</f>
        <v/>
      </c>
      <c r="V1825">
        <f>IF(frame_units!E1822&lt;&gt;"",frame_units!F1822,NA())</f>
        <v/>
      </c>
    </row>
    <row r="1826">
      <c r="U1826">
        <f>IF(frame_units!E1823&lt;&gt;"",frame_units!E1823,NA())</f>
        <v/>
      </c>
      <c r="V1826">
        <f>IF(frame_units!E1823&lt;&gt;"",frame_units!F1823,NA())</f>
        <v/>
      </c>
    </row>
    <row r="1827">
      <c r="U1827">
        <f>IF(frame_units!E1824&lt;&gt;"",frame_units!E1824,NA())</f>
        <v/>
      </c>
      <c r="V1827">
        <f>IF(frame_units!E1824&lt;&gt;"",frame_units!F1824,NA())</f>
        <v/>
      </c>
    </row>
    <row r="1828">
      <c r="U1828">
        <f>IF(frame_units!E1825&lt;&gt;"",frame_units!E1825,NA())</f>
        <v/>
      </c>
      <c r="V1828">
        <f>IF(frame_units!E1825&lt;&gt;"",frame_units!F1825,NA())</f>
        <v/>
      </c>
    </row>
    <row r="1829">
      <c r="U1829">
        <f>IF(frame_units!E1826&lt;&gt;"",frame_units!E1826,NA())</f>
        <v/>
      </c>
      <c r="V1829">
        <f>IF(frame_units!E1826&lt;&gt;"",frame_units!F1826,NA())</f>
        <v/>
      </c>
    </row>
    <row r="1830">
      <c r="U1830">
        <f>IF(frame_units!E1827&lt;&gt;"",frame_units!E1827,NA())</f>
        <v/>
      </c>
      <c r="V1830">
        <f>IF(frame_units!E1827&lt;&gt;"",frame_units!F1827,NA())</f>
        <v/>
      </c>
    </row>
    <row r="1831">
      <c r="U1831">
        <f>IF(frame_units!E1828&lt;&gt;"",frame_units!E1828,NA())</f>
        <v/>
      </c>
      <c r="V1831">
        <f>IF(frame_units!E1828&lt;&gt;"",frame_units!F1828,NA())</f>
        <v/>
      </c>
    </row>
    <row r="1832">
      <c r="U1832">
        <f>IF(frame_units!E1829&lt;&gt;"",frame_units!E1829,NA())</f>
        <v/>
      </c>
      <c r="V1832">
        <f>IF(frame_units!E1829&lt;&gt;"",frame_units!F1829,NA())</f>
        <v/>
      </c>
    </row>
    <row r="1833">
      <c r="U1833">
        <f>IF(frame_units!E1830&lt;&gt;"",frame_units!E1830,NA())</f>
        <v/>
      </c>
      <c r="V1833">
        <f>IF(frame_units!E1830&lt;&gt;"",frame_units!F1830,NA())</f>
        <v/>
      </c>
    </row>
    <row r="1834">
      <c r="U1834">
        <f>IF(frame_units!E1831&lt;&gt;"",frame_units!E1831,NA())</f>
        <v/>
      </c>
      <c r="V1834">
        <f>IF(frame_units!E1831&lt;&gt;"",frame_units!F1831,NA())</f>
        <v/>
      </c>
    </row>
    <row r="1835">
      <c r="U1835">
        <f>IF(frame_units!E1832&lt;&gt;"",frame_units!E1832,NA())</f>
        <v/>
      </c>
      <c r="V1835">
        <f>IF(frame_units!E1832&lt;&gt;"",frame_units!F1832,NA())</f>
        <v/>
      </c>
    </row>
    <row r="1836">
      <c r="U1836">
        <f>IF(frame_units!E1833&lt;&gt;"",frame_units!E1833,NA())</f>
        <v/>
      </c>
      <c r="V1836">
        <f>IF(frame_units!E1833&lt;&gt;"",frame_units!F1833,NA())</f>
        <v/>
      </c>
    </row>
    <row r="1837">
      <c r="U1837">
        <f>IF(frame_units!E1834&lt;&gt;"",frame_units!E1834,NA())</f>
        <v/>
      </c>
      <c r="V1837">
        <f>IF(frame_units!E1834&lt;&gt;"",frame_units!F1834,NA())</f>
        <v/>
      </c>
    </row>
    <row r="1838">
      <c r="U1838">
        <f>IF(frame_units!E1835&lt;&gt;"",frame_units!E1835,NA())</f>
        <v/>
      </c>
      <c r="V1838">
        <f>IF(frame_units!E1835&lt;&gt;"",frame_units!F1835,NA())</f>
        <v/>
      </c>
    </row>
    <row r="1839">
      <c r="U1839">
        <f>IF(frame_units!E1836&lt;&gt;"",frame_units!E1836,NA())</f>
        <v/>
      </c>
      <c r="V1839">
        <f>IF(frame_units!E1836&lt;&gt;"",frame_units!F1836,NA())</f>
        <v/>
      </c>
    </row>
    <row r="1840">
      <c r="U1840">
        <f>IF(frame_units!E1837&lt;&gt;"",frame_units!E1837,NA())</f>
        <v/>
      </c>
      <c r="V1840">
        <f>IF(frame_units!E1837&lt;&gt;"",frame_units!F1837,NA())</f>
        <v/>
      </c>
    </row>
    <row r="1841">
      <c r="U1841">
        <f>IF(frame_units!E1838&lt;&gt;"",frame_units!E1838,NA())</f>
        <v/>
      </c>
      <c r="V1841">
        <f>IF(frame_units!E1838&lt;&gt;"",frame_units!F1838,NA())</f>
        <v/>
      </c>
    </row>
    <row r="1842">
      <c r="U1842">
        <f>IF(frame_units!E1839&lt;&gt;"",frame_units!E1839,NA())</f>
        <v/>
      </c>
      <c r="V1842">
        <f>IF(frame_units!E1839&lt;&gt;"",frame_units!F1839,NA())</f>
        <v/>
      </c>
    </row>
    <row r="1843">
      <c r="U1843">
        <f>IF(frame_units!E1840&lt;&gt;"",frame_units!E1840,NA())</f>
        <v/>
      </c>
      <c r="V1843">
        <f>IF(frame_units!E1840&lt;&gt;"",frame_units!F1840,NA())</f>
        <v/>
      </c>
    </row>
    <row r="1844">
      <c r="U1844">
        <f>IF(frame_units!E1841&lt;&gt;"",frame_units!E1841,NA())</f>
        <v/>
      </c>
      <c r="V1844">
        <f>IF(frame_units!E1841&lt;&gt;"",frame_units!F1841,NA())</f>
        <v/>
      </c>
    </row>
    <row r="1845">
      <c r="U1845">
        <f>IF(frame_units!E1842&lt;&gt;"",frame_units!E1842,NA())</f>
        <v/>
      </c>
      <c r="V1845">
        <f>IF(frame_units!E1842&lt;&gt;"",frame_units!F1842,NA())</f>
        <v/>
      </c>
    </row>
    <row r="1846">
      <c r="U1846">
        <f>IF(frame_units!E1843&lt;&gt;"",frame_units!E1843,NA())</f>
        <v/>
      </c>
      <c r="V1846">
        <f>IF(frame_units!E1843&lt;&gt;"",frame_units!F1843,NA())</f>
        <v/>
      </c>
    </row>
    <row r="1847">
      <c r="U1847">
        <f>IF(frame_units!E1844&lt;&gt;"",frame_units!E1844,NA())</f>
        <v/>
      </c>
      <c r="V1847">
        <f>IF(frame_units!E1844&lt;&gt;"",frame_units!F1844,NA())</f>
        <v/>
      </c>
    </row>
    <row r="1848">
      <c r="U1848">
        <f>IF(frame_units!E1845&lt;&gt;"",frame_units!E1845,NA())</f>
        <v/>
      </c>
      <c r="V1848">
        <f>IF(frame_units!E1845&lt;&gt;"",frame_units!F1845,NA())</f>
        <v/>
      </c>
    </row>
    <row r="1849">
      <c r="U1849">
        <f>IF(frame_units!E1846&lt;&gt;"",frame_units!E1846,NA())</f>
        <v/>
      </c>
      <c r="V1849">
        <f>IF(frame_units!E1846&lt;&gt;"",frame_units!F1846,NA())</f>
        <v/>
      </c>
    </row>
    <row r="1850">
      <c r="U1850">
        <f>IF(frame_units!E1847&lt;&gt;"",frame_units!E1847,NA())</f>
        <v/>
      </c>
      <c r="V1850">
        <f>IF(frame_units!E1847&lt;&gt;"",frame_units!F1847,NA())</f>
        <v/>
      </c>
    </row>
    <row r="1851">
      <c r="U1851">
        <f>IF(frame_units!E1848&lt;&gt;"",frame_units!E1848,NA())</f>
        <v/>
      </c>
      <c r="V1851">
        <f>IF(frame_units!E1848&lt;&gt;"",frame_units!F1848,NA())</f>
        <v/>
      </c>
    </row>
    <row r="1852">
      <c r="U1852">
        <f>IF(frame_units!E1849&lt;&gt;"",frame_units!E1849,NA())</f>
        <v/>
      </c>
      <c r="V1852">
        <f>IF(frame_units!E1849&lt;&gt;"",frame_units!F1849,NA())</f>
        <v/>
      </c>
    </row>
    <row r="1853">
      <c r="U1853">
        <f>IF(frame_units!E1850&lt;&gt;"",frame_units!E1850,NA())</f>
        <v/>
      </c>
      <c r="V1853">
        <f>IF(frame_units!E1850&lt;&gt;"",frame_units!F1850,NA())</f>
        <v/>
      </c>
    </row>
    <row r="1854">
      <c r="U1854">
        <f>IF(frame_units!E1851&lt;&gt;"",frame_units!E1851,NA())</f>
        <v/>
      </c>
      <c r="V1854">
        <f>IF(frame_units!E1851&lt;&gt;"",frame_units!F1851,NA())</f>
        <v/>
      </c>
    </row>
    <row r="1855">
      <c r="U1855">
        <f>IF(frame_units!E1852&lt;&gt;"",frame_units!E1852,NA())</f>
        <v/>
      </c>
      <c r="V1855">
        <f>IF(frame_units!E1852&lt;&gt;"",frame_units!F1852,NA())</f>
        <v/>
      </c>
    </row>
    <row r="1856">
      <c r="U1856">
        <f>IF(frame_units!E1853&lt;&gt;"",frame_units!E1853,NA())</f>
        <v/>
      </c>
      <c r="V1856">
        <f>IF(frame_units!E1853&lt;&gt;"",frame_units!F1853,NA())</f>
        <v/>
      </c>
    </row>
    <row r="1857">
      <c r="U1857">
        <f>IF(frame_units!E1854&lt;&gt;"",frame_units!E1854,NA())</f>
        <v/>
      </c>
      <c r="V1857">
        <f>IF(frame_units!E1854&lt;&gt;"",frame_units!F1854,NA())</f>
        <v/>
      </c>
    </row>
    <row r="1858">
      <c r="U1858">
        <f>IF(frame_units!E1855&lt;&gt;"",frame_units!E1855,NA())</f>
        <v/>
      </c>
      <c r="V1858">
        <f>IF(frame_units!E1855&lt;&gt;"",frame_units!F1855,NA())</f>
        <v/>
      </c>
    </row>
    <row r="1859">
      <c r="U1859">
        <f>IF(frame_units!E1856&lt;&gt;"",frame_units!E1856,NA())</f>
        <v/>
      </c>
      <c r="V1859">
        <f>IF(frame_units!E1856&lt;&gt;"",frame_units!F1856,NA())</f>
        <v/>
      </c>
    </row>
    <row r="1860">
      <c r="U1860">
        <f>IF(frame_units!E1857&lt;&gt;"",frame_units!E1857,NA())</f>
        <v/>
      </c>
      <c r="V1860">
        <f>IF(frame_units!E1857&lt;&gt;"",frame_units!F1857,NA())</f>
        <v/>
      </c>
    </row>
    <row r="1861">
      <c r="U1861">
        <f>IF(frame_units!E1858&lt;&gt;"",frame_units!E1858,NA())</f>
        <v/>
      </c>
      <c r="V1861">
        <f>IF(frame_units!E1858&lt;&gt;"",frame_units!F1858,NA())</f>
        <v/>
      </c>
    </row>
    <row r="1862">
      <c r="U1862">
        <f>IF(frame_units!E1859&lt;&gt;"",frame_units!E1859,NA())</f>
        <v/>
      </c>
      <c r="V1862">
        <f>IF(frame_units!E1859&lt;&gt;"",frame_units!F1859,NA())</f>
        <v/>
      </c>
    </row>
    <row r="1863">
      <c r="U1863">
        <f>IF(frame_units!E1860&lt;&gt;"",frame_units!E1860,NA())</f>
        <v/>
      </c>
      <c r="V1863">
        <f>IF(frame_units!E1860&lt;&gt;"",frame_units!F1860,NA())</f>
        <v/>
      </c>
    </row>
    <row r="1864">
      <c r="U1864">
        <f>IF(frame_units!E1861&lt;&gt;"",frame_units!E1861,NA())</f>
        <v/>
      </c>
      <c r="V1864">
        <f>IF(frame_units!E1861&lt;&gt;"",frame_units!F1861,NA())</f>
        <v/>
      </c>
    </row>
    <row r="1865">
      <c r="U1865">
        <f>IF(frame_units!E1862&lt;&gt;"",frame_units!E1862,NA())</f>
        <v/>
      </c>
      <c r="V1865">
        <f>IF(frame_units!E1862&lt;&gt;"",frame_units!F1862,NA())</f>
        <v/>
      </c>
    </row>
    <row r="1866">
      <c r="U1866">
        <f>IF(frame_units!E1863&lt;&gt;"",frame_units!E1863,NA())</f>
        <v/>
      </c>
      <c r="V1866">
        <f>IF(frame_units!E1863&lt;&gt;"",frame_units!F1863,NA())</f>
        <v/>
      </c>
    </row>
    <row r="1867">
      <c r="U1867">
        <f>IF(frame_units!E1864&lt;&gt;"",frame_units!E1864,NA())</f>
        <v/>
      </c>
      <c r="V1867">
        <f>IF(frame_units!E1864&lt;&gt;"",frame_units!F1864,NA())</f>
        <v/>
      </c>
    </row>
    <row r="1868">
      <c r="U1868">
        <f>IF(frame_units!E1865&lt;&gt;"",frame_units!E1865,NA())</f>
        <v/>
      </c>
      <c r="V1868">
        <f>IF(frame_units!E1865&lt;&gt;"",frame_units!F1865,NA())</f>
        <v/>
      </c>
    </row>
    <row r="1869">
      <c r="U1869">
        <f>IF(frame_units!E1866&lt;&gt;"",frame_units!E1866,NA())</f>
        <v/>
      </c>
      <c r="V1869">
        <f>IF(frame_units!E1866&lt;&gt;"",frame_units!F1866,NA())</f>
        <v/>
      </c>
    </row>
    <row r="1870">
      <c r="U1870">
        <f>IF(frame_units!E1867&lt;&gt;"",frame_units!E1867,NA())</f>
        <v/>
      </c>
      <c r="V1870">
        <f>IF(frame_units!E1867&lt;&gt;"",frame_units!F1867,NA())</f>
        <v/>
      </c>
    </row>
    <row r="1871">
      <c r="U1871">
        <f>IF(frame_units!E1868&lt;&gt;"",frame_units!E1868,NA())</f>
        <v/>
      </c>
      <c r="V1871">
        <f>IF(frame_units!E1868&lt;&gt;"",frame_units!F1868,NA())</f>
        <v/>
      </c>
    </row>
    <row r="1872">
      <c r="U1872">
        <f>IF(frame_units!E1869&lt;&gt;"",frame_units!E1869,NA())</f>
        <v/>
      </c>
      <c r="V1872">
        <f>IF(frame_units!E1869&lt;&gt;"",frame_units!F1869,NA())</f>
        <v/>
      </c>
    </row>
    <row r="1873">
      <c r="U1873">
        <f>IF(frame_units!E1870&lt;&gt;"",frame_units!E1870,NA())</f>
        <v/>
      </c>
      <c r="V1873">
        <f>IF(frame_units!E1870&lt;&gt;"",frame_units!F1870,NA())</f>
        <v/>
      </c>
    </row>
    <row r="1874">
      <c r="U1874">
        <f>IF(frame_units!E1871&lt;&gt;"",frame_units!E1871,NA())</f>
        <v/>
      </c>
      <c r="V1874">
        <f>IF(frame_units!E1871&lt;&gt;"",frame_units!F1871,NA())</f>
        <v/>
      </c>
    </row>
    <row r="1875">
      <c r="U1875">
        <f>IF(frame_units!E1872&lt;&gt;"",frame_units!E1872,NA())</f>
        <v/>
      </c>
      <c r="V1875">
        <f>IF(frame_units!E1872&lt;&gt;"",frame_units!F1872,NA())</f>
        <v/>
      </c>
    </row>
    <row r="1876">
      <c r="U1876">
        <f>IF(frame_units!E1873&lt;&gt;"",frame_units!E1873,NA())</f>
        <v/>
      </c>
      <c r="V1876">
        <f>IF(frame_units!E1873&lt;&gt;"",frame_units!F1873,NA())</f>
        <v/>
      </c>
    </row>
    <row r="1877">
      <c r="U1877">
        <f>IF(frame_units!E1874&lt;&gt;"",frame_units!E1874,NA())</f>
        <v/>
      </c>
      <c r="V1877">
        <f>IF(frame_units!E1874&lt;&gt;"",frame_units!F1874,NA())</f>
        <v/>
      </c>
    </row>
    <row r="1878">
      <c r="U1878">
        <f>IF(frame_units!E1875&lt;&gt;"",frame_units!E1875,NA())</f>
        <v/>
      </c>
      <c r="V1878">
        <f>IF(frame_units!E1875&lt;&gt;"",frame_units!F1875,NA())</f>
        <v/>
      </c>
    </row>
    <row r="1879">
      <c r="U1879">
        <f>IF(frame_units!E1876&lt;&gt;"",frame_units!E1876,NA())</f>
        <v/>
      </c>
      <c r="V1879">
        <f>IF(frame_units!E1876&lt;&gt;"",frame_units!F1876,NA())</f>
        <v/>
      </c>
    </row>
    <row r="1880">
      <c r="U1880">
        <f>IF(frame_units!E1877&lt;&gt;"",frame_units!E1877,NA())</f>
        <v/>
      </c>
      <c r="V1880">
        <f>IF(frame_units!E1877&lt;&gt;"",frame_units!F1877,NA())</f>
        <v/>
      </c>
    </row>
    <row r="1881">
      <c r="U1881">
        <f>IF(frame_units!E1878&lt;&gt;"",frame_units!E1878,NA())</f>
        <v/>
      </c>
      <c r="V1881">
        <f>IF(frame_units!E1878&lt;&gt;"",frame_units!F1878,NA())</f>
        <v/>
      </c>
    </row>
    <row r="1882">
      <c r="U1882">
        <f>IF(frame_units!E1879&lt;&gt;"",frame_units!E1879,NA())</f>
        <v/>
      </c>
      <c r="V1882">
        <f>IF(frame_units!E1879&lt;&gt;"",frame_units!F1879,NA())</f>
        <v/>
      </c>
    </row>
    <row r="1883">
      <c r="U1883">
        <f>IF(frame_units!E1880&lt;&gt;"",frame_units!E1880,NA())</f>
        <v/>
      </c>
      <c r="V1883">
        <f>IF(frame_units!E1880&lt;&gt;"",frame_units!F1880,NA())</f>
        <v/>
      </c>
    </row>
    <row r="1884">
      <c r="U1884">
        <f>IF(frame_units!E1881&lt;&gt;"",frame_units!E1881,NA())</f>
        <v/>
      </c>
      <c r="V1884">
        <f>IF(frame_units!E1881&lt;&gt;"",frame_units!F1881,NA())</f>
        <v/>
      </c>
    </row>
    <row r="1885">
      <c r="U1885">
        <f>IF(frame_units!E1882&lt;&gt;"",frame_units!E1882,NA())</f>
        <v/>
      </c>
      <c r="V1885">
        <f>IF(frame_units!E1882&lt;&gt;"",frame_units!F1882,NA())</f>
        <v/>
      </c>
    </row>
    <row r="1886">
      <c r="U1886">
        <f>IF(frame_units!E1883&lt;&gt;"",frame_units!E1883,NA())</f>
        <v/>
      </c>
      <c r="V1886">
        <f>IF(frame_units!E1883&lt;&gt;"",frame_units!F1883,NA())</f>
        <v/>
      </c>
    </row>
    <row r="1887">
      <c r="U1887">
        <f>IF(frame_units!E1884&lt;&gt;"",frame_units!E1884,NA())</f>
        <v/>
      </c>
      <c r="V1887">
        <f>IF(frame_units!E1884&lt;&gt;"",frame_units!F1884,NA())</f>
        <v/>
      </c>
    </row>
    <row r="1888">
      <c r="U1888">
        <f>IF(frame_units!E1885&lt;&gt;"",frame_units!E1885,NA())</f>
        <v/>
      </c>
      <c r="V1888">
        <f>IF(frame_units!E1885&lt;&gt;"",frame_units!F1885,NA())</f>
        <v/>
      </c>
    </row>
    <row r="1889">
      <c r="U1889">
        <f>IF(frame_units!E1886&lt;&gt;"",frame_units!E1886,NA())</f>
        <v/>
      </c>
      <c r="V1889">
        <f>IF(frame_units!E1886&lt;&gt;"",frame_units!F1886,NA())</f>
        <v/>
      </c>
    </row>
    <row r="1890">
      <c r="U1890">
        <f>IF(frame_units!E1887&lt;&gt;"",frame_units!E1887,NA())</f>
        <v/>
      </c>
      <c r="V1890">
        <f>IF(frame_units!E1887&lt;&gt;"",frame_units!F1887,NA())</f>
        <v/>
      </c>
    </row>
    <row r="1891">
      <c r="U1891">
        <f>IF(frame_units!E1888&lt;&gt;"",frame_units!E1888,NA())</f>
        <v/>
      </c>
      <c r="V1891">
        <f>IF(frame_units!E1888&lt;&gt;"",frame_units!F1888,NA())</f>
        <v/>
      </c>
    </row>
    <row r="1892">
      <c r="U1892">
        <f>IF(frame_units!E1889&lt;&gt;"",frame_units!E1889,NA())</f>
        <v/>
      </c>
      <c r="V1892">
        <f>IF(frame_units!E1889&lt;&gt;"",frame_units!F1889,NA())</f>
        <v/>
      </c>
    </row>
    <row r="1893">
      <c r="U1893">
        <f>IF(frame_units!E1890&lt;&gt;"",frame_units!E1890,NA())</f>
        <v/>
      </c>
      <c r="V1893">
        <f>IF(frame_units!E1890&lt;&gt;"",frame_units!F1890,NA())</f>
        <v/>
      </c>
    </row>
    <row r="1894">
      <c r="U1894">
        <f>IF(frame_units!E1891&lt;&gt;"",frame_units!E1891,NA())</f>
        <v/>
      </c>
      <c r="V1894">
        <f>IF(frame_units!E1891&lt;&gt;"",frame_units!F1891,NA())</f>
        <v/>
      </c>
    </row>
    <row r="1895">
      <c r="U1895">
        <f>IF(frame_units!E1892&lt;&gt;"",frame_units!E1892,NA())</f>
        <v/>
      </c>
      <c r="V1895">
        <f>IF(frame_units!E1892&lt;&gt;"",frame_units!F1892,NA())</f>
        <v/>
      </c>
    </row>
    <row r="1896">
      <c r="U1896">
        <f>IF(frame_units!E1893&lt;&gt;"",frame_units!E1893,NA())</f>
        <v/>
      </c>
      <c r="V1896">
        <f>IF(frame_units!E1893&lt;&gt;"",frame_units!F1893,NA())</f>
        <v/>
      </c>
    </row>
    <row r="1897">
      <c r="U1897">
        <f>IF(frame_units!E1894&lt;&gt;"",frame_units!E1894,NA())</f>
        <v/>
      </c>
      <c r="V1897">
        <f>IF(frame_units!E1894&lt;&gt;"",frame_units!F1894,NA())</f>
        <v/>
      </c>
    </row>
    <row r="1898">
      <c r="U1898">
        <f>IF(frame_units!E1895&lt;&gt;"",frame_units!E1895,NA())</f>
        <v/>
      </c>
      <c r="V1898">
        <f>IF(frame_units!E1895&lt;&gt;"",frame_units!F1895,NA())</f>
        <v/>
      </c>
    </row>
    <row r="1899">
      <c r="U1899">
        <f>IF(frame_units!E1896&lt;&gt;"",frame_units!E1896,NA())</f>
        <v/>
      </c>
      <c r="V1899">
        <f>IF(frame_units!E1896&lt;&gt;"",frame_units!F1896,NA())</f>
        <v/>
      </c>
    </row>
    <row r="1900">
      <c r="U1900">
        <f>IF(frame_units!E1897&lt;&gt;"",frame_units!E1897,NA())</f>
        <v/>
      </c>
      <c r="V1900">
        <f>IF(frame_units!E1897&lt;&gt;"",frame_units!F1897,NA())</f>
        <v/>
      </c>
    </row>
    <row r="1901">
      <c r="U1901">
        <f>IF(frame_units!E1898&lt;&gt;"",frame_units!E1898,NA())</f>
        <v/>
      </c>
      <c r="V1901">
        <f>IF(frame_units!E1898&lt;&gt;"",frame_units!F1898,NA())</f>
        <v/>
      </c>
    </row>
    <row r="1902">
      <c r="U1902">
        <f>IF(frame_units!E1899&lt;&gt;"",frame_units!E1899,NA())</f>
        <v/>
      </c>
      <c r="V1902">
        <f>IF(frame_units!E1899&lt;&gt;"",frame_units!F1899,NA())</f>
        <v/>
      </c>
    </row>
    <row r="1903">
      <c r="U1903">
        <f>IF(frame_units!E1900&lt;&gt;"",frame_units!E1900,NA())</f>
        <v/>
      </c>
      <c r="V1903">
        <f>IF(frame_units!E1900&lt;&gt;"",frame_units!F1900,NA())</f>
        <v/>
      </c>
    </row>
    <row r="1904">
      <c r="U1904">
        <f>IF(frame_units!E1901&lt;&gt;"",frame_units!E1901,NA())</f>
        <v/>
      </c>
      <c r="V1904">
        <f>IF(frame_units!E1901&lt;&gt;"",frame_units!F1901,NA())</f>
        <v/>
      </c>
    </row>
    <row r="1905">
      <c r="U1905">
        <f>IF(frame_units!E1902&lt;&gt;"",frame_units!E1902,NA())</f>
        <v/>
      </c>
      <c r="V1905">
        <f>IF(frame_units!E1902&lt;&gt;"",frame_units!F1902,NA())</f>
        <v/>
      </c>
    </row>
    <row r="1906">
      <c r="U1906">
        <f>IF(frame_units!E1903&lt;&gt;"",frame_units!E1903,NA())</f>
        <v/>
      </c>
      <c r="V1906">
        <f>IF(frame_units!E1903&lt;&gt;"",frame_units!F1903,NA())</f>
        <v/>
      </c>
    </row>
    <row r="1907">
      <c r="U1907">
        <f>IF(frame_units!E1904&lt;&gt;"",frame_units!E1904,NA())</f>
        <v/>
      </c>
      <c r="V1907">
        <f>IF(frame_units!E1904&lt;&gt;"",frame_units!F1904,NA())</f>
        <v/>
      </c>
    </row>
    <row r="1908">
      <c r="U1908">
        <f>IF(frame_units!E1905&lt;&gt;"",frame_units!E1905,NA())</f>
        <v/>
      </c>
      <c r="V1908">
        <f>IF(frame_units!E1905&lt;&gt;"",frame_units!F1905,NA())</f>
        <v/>
      </c>
    </row>
    <row r="1909">
      <c r="U1909">
        <f>IF(frame_units!E1906&lt;&gt;"",frame_units!E1906,NA())</f>
        <v/>
      </c>
      <c r="V1909">
        <f>IF(frame_units!E1906&lt;&gt;"",frame_units!F1906,NA())</f>
        <v/>
      </c>
    </row>
    <row r="1910">
      <c r="U1910">
        <f>IF(frame_units!E1907&lt;&gt;"",frame_units!E1907,NA())</f>
        <v/>
      </c>
      <c r="V1910">
        <f>IF(frame_units!E1907&lt;&gt;"",frame_units!F1907,NA())</f>
        <v/>
      </c>
    </row>
    <row r="1911">
      <c r="U1911">
        <f>IF(frame_units!E1908&lt;&gt;"",frame_units!E1908,NA())</f>
        <v/>
      </c>
      <c r="V1911">
        <f>IF(frame_units!E1908&lt;&gt;"",frame_units!F1908,NA())</f>
        <v/>
      </c>
    </row>
    <row r="1912">
      <c r="U1912">
        <f>IF(frame_units!E1909&lt;&gt;"",frame_units!E1909,NA())</f>
        <v/>
      </c>
      <c r="V1912">
        <f>IF(frame_units!E1909&lt;&gt;"",frame_units!F1909,NA())</f>
        <v/>
      </c>
    </row>
    <row r="1913">
      <c r="U1913">
        <f>IF(frame_units!E1910&lt;&gt;"",frame_units!E1910,NA())</f>
        <v/>
      </c>
      <c r="V1913">
        <f>IF(frame_units!E1910&lt;&gt;"",frame_units!F1910,NA())</f>
        <v/>
      </c>
    </row>
    <row r="1914">
      <c r="U1914">
        <f>IF(frame_units!E1911&lt;&gt;"",frame_units!E1911,NA())</f>
        <v/>
      </c>
      <c r="V1914">
        <f>IF(frame_units!E1911&lt;&gt;"",frame_units!F1911,NA())</f>
        <v/>
      </c>
    </row>
    <row r="1915">
      <c r="U1915">
        <f>IF(frame_units!E1912&lt;&gt;"",frame_units!E1912,NA())</f>
        <v/>
      </c>
      <c r="V1915">
        <f>IF(frame_units!E1912&lt;&gt;"",frame_units!F1912,NA())</f>
        <v/>
      </c>
    </row>
    <row r="1916">
      <c r="U1916">
        <f>IF(frame_units!E1913&lt;&gt;"",frame_units!E1913,NA())</f>
        <v/>
      </c>
      <c r="V1916">
        <f>IF(frame_units!E1913&lt;&gt;"",frame_units!F1913,NA())</f>
        <v/>
      </c>
    </row>
    <row r="1917">
      <c r="U1917">
        <f>IF(frame_units!E1914&lt;&gt;"",frame_units!E1914,NA())</f>
        <v/>
      </c>
      <c r="V1917">
        <f>IF(frame_units!E1914&lt;&gt;"",frame_units!F1914,NA())</f>
        <v/>
      </c>
    </row>
    <row r="1918">
      <c r="U1918">
        <f>IF(frame_units!E1915&lt;&gt;"",frame_units!E1915,NA())</f>
        <v/>
      </c>
      <c r="V1918">
        <f>IF(frame_units!E1915&lt;&gt;"",frame_units!F1915,NA())</f>
        <v/>
      </c>
    </row>
    <row r="1919">
      <c r="U1919">
        <f>IF(frame_units!E1916&lt;&gt;"",frame_units!E1916,NA())</f>
        <v/>
      </c>
      <c r="V1919">
        <f>IF(frame_units!E1916&lt;&gt;"",frame_units!F1916,NA())</f>
        <v/>
      </c>
    </row>
    <row r="1920">
      <c r="U1920">
        <f>IF(frame_units!E1917&lt;&gt;"",frame_units!E1917,NA())</f>
        <v/>
      </c>
      <c r="V1920">
        <f>IF(frame_units!E1917&lt;&gt;"",frame_units!F1917,NA())</f>
        <v/>
      </c>
    </row>
    <row r="1921">
      <c r="U1921">
        <f>IF(frame_units!E1918&lt;&gt;"",frame_units!E1918,NA())</f>
        <v/>
      </c>
      <c r="V1921">
        <f>IF(frame_units!E1918&lt;&gt;"",frame_units!F1918,NA())</f>
        <v/>
      </c>
    </row>
    <row r="1922">
      <c r="U1922">
        <f>IF(frame_units!E1919&lt;&gt;"",frame_units!E1919,NA())</f>
        <v/>
      </c>
      <c r="V1922">
        <f>IF(frame_units!E1919&lt;&gt;"",frame_units!F1919,NA())</f>
        <v/>
      </c>
    </row>
    <row r="1923">
      <c r="U1923">
        <f>IF(frame_units!E1920&lt;&gt;"",frame_units!E1920,NA())</f>
        <v/>
      </c>
      <c r="V1923">
        <f>IF(frame_units!E1920&lt;&gt;"",frame_units!F1920,NA())</f>
        <v/>
      </c>
    </row>
    <row r="1924">
      <c r="U1924">
        <f>IF(frame_units!E1921&lt;&gt;"",frame_units!E1921,NA())</f>
        <v/>
      </c>
      <c r="V1924">
        <f>IF(frame_units!E1921&lt;&gt;"",frame_units!F1921,NA())</f>
        <v/>
      </c>
    </row>
    <row r="1925">
      <c r="U1925">
        <f>IF(frame_units!E1922&lt;&gt;"",frame_units!E1922,NA())</f>
        <v/>
      </c>
      <c r="V1925">
        <f>IF(frame_units!E1922&lt;&gt;"",frame_units!F1922,NA())</f>
        <v/>
      </c>
    </row>
    <row r="1926">
      <c r="U1926">
        <f>IF(frame_units!E1923&lt;&gt;"",frame_units!E1923,NA())</f>
        <v/>
      </c>
      <c r="V1926">
        <f>IF(frame_units!E1923&lt;&gt;"",frame_units!F1923,NA())</f>
        <v/>
      </c>
    </row>
    <row r="1927">
      <c r="U1927">
        <f>IF(frame_units!E1924&lt;&gt;"",frame_units!E1924,NA())</f>
        <v/>
      </c>
      <c r="V1927">
        <f>IF(frame_units!E1924&lt;&gt;"",frame_units!F1924,NA())</f>
        <v/>
      </c>
    </row>
    <row r="1928">
      <c r="U1928">
        <f>IF(frame_units!E1925&lt;&gt;"",frame_units!E1925,NA())</f>
        <v/>
      </c>
      <c r="V1928">
        <f>IF(frame_units!E1925&lt;&gt;"",frame_units!F1925,NA())</f>
        <v/>
      </c>
    </row>
    <row r="1929">
      <c r="U1929">
        <f>IF(frame_units!E1926&lt;&gt;"",frame_units!E1926,NA())</f>
        <v/>
      </c>
      <c r="V1929">
        <f>IF(frame_units!E1926&lt;&gt;"",frame_units!F1926,NA())</f>
        <v/>
      </c>
    </row>
    <row r="1930">
      <c r="U1930">
        <f>IF(frame_units!E1927&lt;&gt;"",frame_units!E1927,NA())</f>
        <v/>
      </c>
      <c r="V1930">
        <f>IF(frame_units!E1927&lt;&gt;"",frame_units!F1927,NA())</f>
        <v/>
      </c>
    </row>
    <row r="1931">
      <c r="U1931">
        <f>IF(frame_units!E1928&lt;&gt;"",frame_units!E1928,NA())</f>
        <v/>
      </c>
      <c r="V1931">
        <f>IF(frame_units!E1928&lt;&gt;"",frame_units!F1928,NA())</f>
        <v/>
      </c>
    </row>
    <row r="1932">
      <c r="U1932">
        <f>IF(frame_units!E1929&lt;&gt;"",frame_units!E1929,NA())</f>
        <v/>
      </c>
      <c r="V1932">
        <f>IF(frame_units!E1929&lt;&gt;"",frame_units!F1929,NA())</f>
        <v/>
      </c>
    </row>
    <row r="1933">
      <c r="U1933">
        <f>IF(frame_units!E1930&lt;&gt;"",frame_units!E1930,NA())</f>
        <v/>
      </c>
      <c r="V1933">
        <f>IF(frame_units!E1930&lt;&gt;"",frame_units!F1930,NA())</f>
        <v/>
      </c>
    </row>
    <row r="1934">
      <c r="U1934">
        <f>IF(frame_units!E1931&lt;&gt;"",frame_units!E1931,NA())</f>
        <v/>
      </c>
      <c r="V1934">
        <f>IF(frame_units!E1931&lt;&gt;"",frame_units!F1931,NA())</f>
        <v/>
      </c>
    </row>
    <row r="1935">
      <c r="U1935">
        <f>IF(frame_units!E1932&lt;&gt;"",frame_units!E1932,NA())</f>
        <v/>
      </c>
      <c r="V1935">
        <f>IF(frame_units!E1932&lt;&gt;"",frame_units!F1932,NA())</f>
        <v/>
      </c>
    </row>
    <row r="1936">
      <c r="U1936">
        <f>IF(frame_units!E1933&lt;&gt;"",frame_units!E1933,NA())</f>
        <v/>
      </c>
      <c r="V1936">
        <f>IF(frame_units!E1933&lt;&gt;"",frame_units!F1933,NA())</f>
        <v/>
      </c>
    </row>
    <row r="1937">
      <c r="U1937">
        <f>IF(frame_units!E1934&lt;&gt;"",frame_units!E1934,NA())</f>
        <v/>
      </c>
      <c r="V1937">
        <f>IF(frame_units!E1934&lt;&gt;"",frame_units!F1934,NA())</f>
        <v/>
      </c>
    </row>
    <row r="1938">
      <c r="U1938">
        <f>IF(frame_units!E1935&lt;&gt;"",frame_units!E1935,NA())</f>
        <v/>
      </c>
      <c r="V1938">
        <f>IF(frame_units!E1935&lt;&gt;"",frame_units!F1935,NA())</f>
        <v/>
      </c>
    </row>
    <row r="1939">
      <c r="U1939">
        <f>IF(frame_units!E1936&lt;&gt;"",frame_units!E1936,NA())</f>
        <v/>
      </c>
      <c r="V1939">
        <f>IF(frame_units!E1936&lt;&gt;"",frame_units!F1936,NA())</f>
        <v/>
      </c>
    </row>
    <row r="1940">
      <c r="U1940">
        <f>IF(frame_units!E1937&lt;&gt;"",frame_units!E1937,NA())</f>
        <v/>
      </c>
      <c r="V1940">
        <f>IF(frame_units!E1937&lt;&gt;"",frame_units!F1937,NA())</f>
        <v/>
      </c>
    </row>
    <row r="1941">
      <c r="U1941">
        <f>IF(frame_units!E1938&lt;&gt;"",frame_units!E1938,NA())</f>
        <v/>
      </c>
      <c r="V1941">
        <f>IF(frame_units!E1938&lt;&gt;"",frame_units!F1938,NA())</f>
        <v/>
      </c>
    </row>
    <row r="1942">
      <c r="U1942">
        <f>IF(frame_units!E1939&lt;&gt;"",frame_units!E1939,NA())</f>
        <v/>
      </c>
      <c r="V1942">
        <f>IF(frame_units!E1939&lt;&gt;"",frame_units!F1939,NA())</f>
        <v/>
      </c>
    </row>
    <row r="1943">
      <c r="U1943">
        <f>IF(frame_units!E1940&lt;&gt;"",frame_units!E1940,NA())</f>
        <v/>
      </c>
      <c r="V1943">
        <f>IF(frame_units!E1940&lt;&gt;"",frame_units!F1940,NA())</f>
        <v/>
      </c>
    </row>
    <row r="1944">
      <c r="U1944">
        <f>IF(frame_units!E1941&lt;&gt;"",frame_units!E1941,NA())</f>
        <v/>
      </c>
      <c r="V1944">
        <f>IF(frame_units!E1941&lt;&gt;"",frame_units!F1941,NA())</f>
        <v/>
      </c>
    </row>
    <row r="1945">
      <c r="U1945">
        <f>IF(frame_units!E1942&lt;&gt;"",frame_units!E1942,NA())</f>
        <v/>
      </c>
      <c r="V1945">
        <f>IF(frame_units!E1942&lt;&gt;"",frame_units!F1942,NA())</f>
        <v/>
      </c>
    </row>
    <row r="1946">
      <c r="U1946">
        <f>IF(frame_units!E1943&lt;&gt;"",frame_units!E1943,NA())</f>
        <v/>
      </c>
      <c r="V1946">
        <f>IF(frame_units!E1943&lt;&gt;"",frame_units!F1943,NA())</f>
        <v/>
      </c>
    </row>
    <row r="1947">
      <c r="U1947">
        <f>IF(frame_units!E1944&lt;&gt;"",frame_units!E1944,NA())</f>
        <v/>
      </c>
      <c r="V1947">
        <f>IF(frame_units!E1944&lt;&gt;"",frame_units!F1944,NA())</f>
        <v/>
      </c>
    </row>
    <row r="1948">
      <c r="U1948">
        <f>IF(frame_units!E1945&lt;&gt;"",frame_units!E1945,NA())</f>
        <v/>
      </c>
      <c r="V1948">
        <f>IF(frame_units!E1945&lt;&gt;"",frame_units!F1945,NA())</f>
        <v/>
      </c>
    </row>
    <row r="1949">
      <c r="U1949">
        <f>IF(frame_units!E1946&lt;&gt;"",frame_units!E1946,NA())</f>
        <v/>
      </c>
      <c r="V1949">
        <f>IF(frame_units!E1946&lt;&gt;"",frame_units!F1946,NA())</f>
        <v/>
      </c>
    </row>
    <row r="1950">
      <c r="U1950">
        <f>IF(frame_units!E1947&lt;&gt;"",frame_units!E1947,NA())</f>
        <v/>
      </c>
      <c r="V1950">
        <f>IF(frame_units!E1947&lt;&gt;"",frame_units!F1947,NA())</f>
        <v/>
      </c>
    </row>
    <row r="1951">
      <c r="U1951">
        <f>IF(frame_units!E1948&lt;&gt;"",frame_units!E1948,NA())</f>
        <v/>
      </c>
      <c r="V1951">
        <f>IF(frame_units!E1948&lt;&gt;"",frame_units!F1948,NA())</f>
        <v/>
      </c>
    </row>
    <row r="1952">
      <c r="U1952">
        <f>IF(frame_units!E1949&lt;&gt;"",frame_units!E1949,NA())</f>
        <v/>
      </c>
      <c r="V1952">
        <f>IF(frame_units!E1949&lt;&gt;"",frame_units!F1949,NA())</f>
        <v/>
      </c>
    </row>
    <row r="1953">
      <c r="U1953">
        <f>IF(frame_units!E1950&lt;&gt;"",frame_units!E1950,NA())</f>
        <v/>
      </c>
      <c r="V1953">
        <f>IF(frame_units!E1950&lt;&gt;"",frame_units!F1950,NA())</f>
        <v/>
      </c>
    </row>
    <row r="1954">
      <c r="U1954">
        <f>IF(frame_units!E1951&lt;&gt;"",frame_units!E1951,NA())</f>
        <v/>
      </c>
      <c r="V1954">
        <f>IF(frame_units!E1951&lt;&gt;"",frame_units!F1951,NA())</f>
        <v/>
      </c>
    </row>
    <row r="1955">
      <c r="U1955">
        <f>IF(frame_units!E1952&lt;&gt;"",frame_units!E1952,NA())</f>
        <v/>
      </c>
      <c r="V1955">
        <f>IF(frame_units!E1952&lt;&gt;"",frame_units!F1952,NA())</f>
        <v/>
      </c>
    </row>
    <row r="1956">
      <c r="U1956">
        <f>IF(frame_units!E1953&lt;&gt;"",frame_units!E1953,NA())</f>
        <v/>
      </c>
      <c r="V1956">
        <f>IF(frame_units!E1953&lt;&gt;"",frame_units!F1953,NA())</f>
        <v/>
      </c>
    </row>
    <row r="1957">
      <c r="U1957">
        <f>IF(frame_units!E1954&lt;&gt;"",frame_units!E1954,NA())</f>
        <v/>
      </c>
      <c r="V1957">
        <f>IF(frame_units!E1954&lt;&gt;"",frame_units!F1954,NA())</f>
        <v/>
      </c>
    </row>
    <row r="1958">
      <c r="U1958">
        <f>IF(frame_units!E1955&lt;&gt;"",frame_units!E1955,NA())</f>
        <v/>
      </c>
      <c r="V1958">
        <f>IF(frame_units!E1955&lt;&gt;"",frame_units!F1955,NA())</f>
        <v/>
      </c>
    </row>
    <row r="1959">
      <c r="U1959">
        <f>IF(frame_units!E1956&lt;&gt;"",frame_units!E1956,NA())</f>
        <v/>
      </c>
      <c r="V1959">
        <f>IF(frame_units!E1956&lt;&gt;"",frame_units!F1956,NA())</f>
        <v/>
      </c>
    </row>
    <row r="1960">
      <c r="U1960">
        <f>IF(frame_units!E1957&lt;&gt;"",frame_units!E1957,NA())</f>
        <v/>
      </c>
      <c r="V1960">
        <f>IF(frame_units!E1957&lt;&gt;"",frame_units!F1957,NA())</f>
        <v/>
      </c>
    </row>
    <row r="1961">
      <c r="U1961">
        <f>IF(frame_units!E1958&lt;&gt;"",frame_units!E1958,NA())</f>
        <v/>
      </c>
      <c r="V1961">
        <f>IF(frame_units!E1958&lt;&gt;"",frame_units!F1958,NA())</f>
        <v/>
      </c>
    </row>
    <row r="1962">
      <c r="U1962">
        <f>IF(frame_units!E1959&lt;&gt;"",frame_units!E1959,NA())</f>
        <v/>
      </c>
      <c r="V1962">
        <f>IF(frame_units!E1959&lt;&gt;"",frame_units!F1959,NA())</f>
        <v/>
      </c>
    </row>
    <row r="1963">
      <c r="U1963">
        <f>IF(frame_units!E1960&lt;&gt;"",frame_units!E1960,NA())</f>
        <v/>
      </c>
      <c r="V1963">
        <f>IF(frame_units!E1960&lt;&gt;"",frame_units!F1960,NA())</f>
        <v/>
      </c>
    </row>
    <row r="1964">
      <c r="U1964">
        <f>IF(frame_units!E1961&lt;&gt;"",frame_units!E1961,NA())</f>
        <v/>
      </c>
      <c r="V1964">
        <f>IF(frame_units!E1961&lt;&gt;"",frame_units!F1961,NA())</f>
        <v/>
      </c>
    </row>
    <row r="1965">
      <c r="U1965">
        <f>IF(frame_units!E1962&lt;&gt;"",frame_units!E1962,NA())</f>
        <v/>
      </c>
      <c r="V1965">
        <f>IF(frame_units!E1962&lt;&gt;"",frame_units!F1962,NA())</f>
        <v/>
      </c>
    </row>
    <row r="1966">
      <c r="U1966">
        <f>IF(frame_units!E1963&lt;&gt;"",frame_units!E1963,NA())</f>
        <v/>
      </c>
      <c r="V1966">
        <f>IF(frame_units!E1963&lt;&gt;"",frame_units!F1963,NA())</f>
        <v/>
      </c>
    </row>
    <row r="1967">
      <c r="U1967">
        <f>IF(frame_units!E1964&lt;&gt;"",frame_units!E1964,NA())</f>
        <v/>
      </c>
      <c r="V1967">
        <f>IF(frame_units!E1964&lt;&gt;"",frame_units!F1964,NA())</f>
        <v/>
      </c>
    </row>
    <row r="1968">
      <c r="U1968">
        <f>IF(frame_units!E1965&lt;&gt;"",frame_units!E1965,NA())</f>
        <v/>
      </c>
      <c r="V1968">
        <f>IF(frame_units!E1965&lt;&gt;"",frame_units!F1965,NA())</f>
        <v/>
      </c>
    </row>
    <row r="1969">
      <c r="U1969">
        <f>IF(frame_units!E1966&lt;&gt;"",frame_units!E1966,NA())</f>
        <v/>
      </c>
      <c r="V1969">
        <f>IF(frame_units!E1966&lt;&gt;"",frame_units!F1966,NA())</f>
        <v/>
      </c>
    </row>
    <row r="1970">
      <c r="U1970">
        <f>IF(frame_units!E1967&lt;&gt;"",frame_units!E1967,NA())</f>
        <v/>
      </c>
      <c r="V1970">
        <f>IF(frame_units!E1967&lt;&gt;"",frame_units!F1967,NA())</f>
        <v/>
      </c>
    </row>
    <row r="1971">
      <c r="U1971">
        <f>IF(frame_units!E1968&lt;&gt;"",frame_units!E1968,NA())</f>
        <v/>
      </c>
      <c r="V1971">
        <f>IF(frame_units!E1968&lt;&gt;"",frame_units!F1968,NA())</f>
        <v/>
      </c>
    </row>
    <row r="1972">
      <c r="U1972">
        <f>IF(frame_units!E1969&lt;&gt;"",frame_units!E1969,NA())</f>
        <v/>
      </c>
      <c r="V1972">
        <f>IF(frame_units!E1969&lt;&gt;"",frame_units!F1969,NA())</f>
        <v/>
      </c>
    </row>
    <row r="1973">
      <c r="U1973">
        <f>IF(frame_units!E1970&lt;&gt;"",frame_units!E1970,NA())</f>
        <v/>
      </c>
      <c r="V1973">
        <f>IF(frame_units!E1970&lt;&gt;"",frame_units!F1970,NA())</f>
        <v/>
      </c>
    </row>
    <row r="1974">
      <c r="U1974">
        <f>IF(frame_units!E1971&lt;&gt;"",frame_units!E1971,NA())</f>
        <v/>
      </c>
      <c r="V1974">
        <f>IF(frame_units!E1971&lt;&gt;"",frame_units!F1971,NA())</f>
        <v/>
      </c>
    </row>
    <row r="1975">
      <c r="U1975">
        <f>IF(frame_units!E1972&lt;&gt;"",frame_units!E1972,NA())</f>
        <v/>
      </c>
      <c r="V1975">
        <f>IF(frame_units!E1972&lt;&gt;"",frame_units!F1972,NA())</f>
        <v/>
      </c>
    </row>
    <row r="1976">
      <c r="U1976">
        <f>IF(frame_units!E1973&lt;&gt;"",frame_units!E1973,NA())</f>
        <v/>
      </c>
      <c r="V1976">
        <f>IF(frame_units!E1973&lt;&gt;"",frame_units!F1973,NA())</f>
        <v/>
      </c>
    </row>
    <row r="1977">
      <c r="U1977">
        <f>IF(frame_units!E1974&lt;&gt;"",frame_units!E1974,NA())</f>
        <v/>
      </c>
      <c r="V1977">
        <f>IF(frame_units!E1974&lt;&gt;"",frame_units!F1974,NA())</f>
        <v/>
      </c>
    </row>
    <row r="1978">
      <c r="U1978">
        <f>IF(frame_units!E1975&lt;&gt;"",frame_units!E1975,NA())</f>
        <v/>
      </c>
      <c r="V1978">
        <f>IF(frame_units!E1975&lt;&gt;"",frame_units!F1975,NA())</f>
        <v/>
      </c>
    </row>
    <row r="1979">
      <c r="U1979">
        <f>IF(frame_units!E1976&lt;&gt;"",frame_units!E1976,NA())</f>
        <v/>
      </c>
      <c r="V1979">
        <f>IF(frame_units!E1976&lt;&gt;"",frame_units!F1976,NA())</f>
        <v/>
      </c>
    </row>
    <row r="1980">
      <c r="U1980">
        <f>IF(frame_units!E1977&lt;&gt;"",frame_units!E1977,NA())</f>
        <v/>
      </c>
      <c r="V1980">
        <f>IF(frame_units!E1977&lt;&gt;"",frame_units!F1977,NA())</f>
        <v/>
      </c>
    </row>
    <row r="1981">
      <c r="U1981">
        <f>IF(frame_units!E1978&lt;&gt;"",frame_units!E1978,NA())</f>
        <v/>
      </c>
      <c r="V1981">
        <f>IF(frame_units!E1978&lt;&gt;"",frame_units!F1978,NA())</f>
        <v/>
      </c>
    </row>
    <row r="1982">
      <c r="U1982">
        <f>IF(frame_units!E1979&lt;&gt;"",frame_units!E1979,NA())</f>
        <v/>
      </c>
      <c r="V1982">
        <f>IF(frame_units!E1979&lt;&gt;"",frame_units!F1979,NA())</f>
        <v/>
      </c>
    </row>
    <row r="1983">
      <c r="U1983">
        <f>IF(frame_units!E1980&lt;&gt;"",frame_units!E1980,NA())</f>
        <v/>
      </c>
      <c r="V1983">
        <f>IF(frame_units!E1980&lt;&gt;"",frame_units!F1980,NA())</f>
        <v/>
      </c>
    </row>
    <row r="1984">
      <c r="U1984">
        <f>IF(frame_units!E1981&lt;&gt;"",frame_units!E1981,NA())</f>
        <v/>
      </c>
      <c r="V1984">
        <f>IF(frame_units!E1981&lt;&gt;"",frame_units!F1981,NA())</f>
        <v/>
      </c>
    </row>
    <row r="1985">
      <c r="U1985">
        <f>IF(frame_units!E1982&lt;&gt;"",frame_units!E1982,NA())</f>
        <v/>
      </c>
      <c r="V1985">
        <f>IF(frame_units!E1982&lt;&gt;"",frame_units!F1982,NA())</f>
        <v/>
      </c>
    </row>
    <row r="1986">
      <c r="U1986">
        <f>IF(frame_units!E1983&lt;&gt;"",frame_units!E1983,NA())</f>
        <v/>
      </c>
      <c r="V1986">
        <f>IF(frame_units!E1983&lt;&gt;"",frame_units!F1983,NA())</f>
        <v/>
      </c>
    </row>
    <row r="1987">
      <c r="U1987">
        <f>IF(frame_units!E1984&lt;&gt;"",frame_units!E1984,NA())</f>
        <v/>
      </c>
      <c r="V1987">
        <f>IF(frame_units!E1984&lt;&gt;"",frame_units!F1984,NA())</f>
        <v/>
      </c>
    </row>
    <row r="1988">
      <c r="U1988">
        <f>IF(frame_units!E1985&lt;&gt;"",frame_units!E1985,NA())</f>
        <v/>
      </c>
      <c r="V1988">
        <f>IF(frame_units!E1985&lt;&gt;"",frame_units!F1985,NA())</f>
        <v/>
      </c>
    </row>
    <row r="1989">
      <c r="U1989">
        <f>IF(frame_units!E1986&lt;&gt;"",frame_units!E1986,NA())</f>
        <v/>
      </c>
      <c r="V1989">
        <f>IF(frame_units!E1986&lt;&gt;"",frame_units!F1986,NA())</f>
        <v/>
      </c>
    </row>
    <row r="1990">
      <c r="U1990">
        <f>IF(frame_units!E1987&lt;&gt;"",frame_units!E1987,NA())</f>
        <v/>
      </c>
      <c r="V1990">
        <f>IF(frame_units!E1987&lt;&gt;"",frame_units!F1987,NA())</f>
        <v/>
      </c>
    </row>
    <row r="1991">
      <c r="U1991">
        <f>IF(frame_units!E1988&lt;&gt;"",frame_units!E1988,NA())</f>
        <v/>
      </c>
      <c r="V1991">
        <f>IF(frame_units!E1988&lt;&gt;"",frame_units!F1988,NA())</f>
        <v/>
      </c>
    </row>
    <row r="1992">
      <c r="U1992">
        <f>IF(frame_units!E1989&lt;&gt;"",frame_units!E1989,NA())</f>
        <v/>
      </c>
      <c r="V1992">
        <f>IF(frame_units!E1989&lt;&gt;"",frame_units!F1989,NA())</f>
        <v/>
      </c>
    </row>
    <row r="1993">
      <c r="U1993">
        <f>IF(frame_units!E1990&lt;&gt;"",frame_units!E1990,NA())</f>
        <v/>
      </c>
      <c r="V1993">
        <f>IF(frame_units!E1990&lt;&gt;"",frame_units!F1990,NA())</f>
        <v/>
      </c>
    </row>
    <row r="1994">
      <c r="U1994">
        <f>IF(frame_units!E1991&lt;&gt;"",frame_units!E1991,NA())</f>
        <v/>
      </c>
      <c r="V1994">
        <f>IF(frame_units!E1991&lt;&gt;"",frame_units!F1991,NA())</f>
        <v/>
      </c>
    </row>
    <row r="1995">
      <c r="U1995">
        <f>IF(frame_units!E1992&lt;&gt;"",frame_units!E1992,NA())</f>
        <v/>
      </c>
      <c r="V1995">
        <f>IF(frame_units!E1992&lt;&gt;"",frame_units!F1992,NA())</f>
        <v/>
      </c>
    </row>
    <row r="1996">
      <c r="U1996">
        <f>IF(frame_units!E1993&lt;&gt;"",frame_units!E1993,NA())</f>
        <v/>
      </c>
      <c r="V1996">
        <f>IF(frame_units!E1993&lt;&gt;"",frame_units!F1993,NA())</f>
        <v/>
      </c>
    </row>
    <row r="1997">
      <c r="U1997">
        <f>IF(frame_units!E1994&lt;&gt;"",frame_units!E1994,NA())</f>
        <v/>
      </c>
      <c r="V1997">
        <f>IF(frame_units!E1994&lt;&gt;"",frame_units!F1994,NA())</f>
        <v/>
      </c>
    </row>
    <row r="1998">
      <c r="U1998">
        <f>IF(frame_units!E1995&lt;&gt;"",frame_units!E1995,NA())</f>
        <v/>
      </c>
      <c r="V1998">
        <f>IF(frame_units!E1995&lt;&gt;"",frame_units!F1995,NA())</f>
        <v/>
      </c>
    </row>
    <row r="1999">
      <c r="U1999">
        <f>IF(frame_units!E1996&lt;&gt;"",frame_units!E1996,NA())</f>
        <v/>
      </c>
      <c r="V1999">
        <f>IF(frame_units!E1996&lt;&gt;"",frame_units!F1996,NA())</f>
        <v/>
      </c>
    </row>
    <row r="2000">
      <c r="U2000">
        <f>IF(frame_units!E1997&lt;&gt;"",frame_units!E1997,NA())</f>
        <v/>
      </c>
      <c r="V2000">
        <f>IF(frame_units!E1997&lt;&gt;"",frame_units!F1997,NA())</f>
        <v/>
      </c>
    </row>
    <row r="2001">
      <c r="U2001">
        <f>IF(frame_units!E1998&lt;&gt;"",frame_units!E1998,NA())</f>
        <v/>
      </c>
      <c r="V2001">
        <f>IF(frame_units!E1998&lt;&gt;"",frame_units!F1998,NA())</f>
        <v/>
      </c>
    </row>
    <row r="2002">
      <c r="U2002">
        <f>IF(frame_units!E1999&lt;&gt;"",frame_units!E1999,NA())</f>
        <v/>
      </c>
      <c r="V2002">
        <f>IF(frame_units!E1999&lt;&gt;"",frame_units!F1999,NA())</f>
        <v/>
      </c>
    </row>
    <row r="2003">
      <c r="U2003">
        <f>IF(frame_units!E2000&lt;&gt;"",frame_units!E2000,NA())</f>
        <v/>
      </c>
      <c r="V2003">
        <f>IF(frame_units!E2000&lt;&gt;"",frame_units!F2000,NA())</f>
        <v/>
      </c>
    </row>
    <row r="2004">
      <c r="U2004">
        <f>IF(frame_units!E2001&lt;&gt;"",frame_units!E2001,NA())</f>
        <v/>
      </c>
      <c r="V2004">
        <f>IF(frame_units!E2001&lt;&gt;"",frame_units!F2001,NA())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Listing: what Stata exported for this run</t>
        </is>
      </c>
    </row>
    <row r="2">
      <c r="A2" s="2" t="inlineStr">
        <is>
          <t>The listing forms and the completed listing's checks as computed in Stata; nothing is recalculated here (see Notes).</t>
        </is>
      </c>
    </row>
    <row r="4">
      <c r="A4" s="3" t="inlineStr">
        <is>
          <t>Run</t>
        </is>
      </c>
      <c r="U4" s="3" t="inlineStr">
        <is>
          <t>areas: x</t>
        </is>
      </c>
      <c r="V4" s="3" t="inlineStr">
        <is>
          <t>areas: y</t>
        </is>
      </c>
    </row>
    <row r="5">
      <c r="A5" t="inlineStr">
        <is>
          <t>Run id</t>
        </is>
      </c>
      <c r="B5" s="4">
        <f>IFERROR(INDEX(manifest!$B:$B,MATCH("run_id",manifest!$A:$A,0)),"not in this export")</f>
        <v/>
      </c>
      <c r="U5">
        <f>IF(listing_areas!C2&lt;&gt;"",listing_areas!C2,NA())</f>
        <v/>
      </c>
      <c r="V5">
        <f>IF(listing_areas!C2&lt;&gt;"",listing_areas!D2,NA())</f>
        <v/>
      </c>
    </row>
    <row r="6">
      <c r="A6" t="inlineStr">
        <is>
          <t>Step</t>
        </is>
      </c>
      <c r="B6" s="4">
        <f>IFERROR(INDEX(manifest!$B:$B,MATCH("step",manifest!$A:$A,0)),"not in this export")</f>
        <v/>
      </c>
      <c r="U6">
        <f>IF(listing_areas!C3&lt;&gt;"",listing_areas!C3,NA())</f>
        <v/>
      </c>
      <c r="V6">
        <f>IF(listing_areas!C3&lt;&gt;"",listing_areas!D3,NA())</f>
        <v/>
      </c>
    </row>
    <row r="7">
      <c r="A7" t="inlineStr">
        <is>
          <t>Started</t>
        </is>
      </c>
      <c r="B7" s="4">
        <f>IFERROR(INDEX(manifest!$B:$B,MATCH("started",manifest!$A:$A,0)),"not in this export")</f>
        <v/>
      </c>
      <c r="U7">
        <f>IF(listing_areas!C4&lt;&gt;"",listing_areas!C4,NA())</f>
        <v/>
      </c>
      <c r="V7">
        <f>IF(listing_areas!C4&lt;&gt;"",listing_areas!D4,NA())</f>
        <v/>
      </c>
    </row>
    <row r="8">
      <c r="A8" t="inlineStr">
        <is>
          <t>Status</t>
        </is>
      </c>
      <c r="B8" s="4">
        <f>IFERROR(INDEX(manifest!$B:$B,MATCH("status",manifest!$A:$A,0)),"not in this export")</f>
        <v/>
      </c>
      <c r="U8">
        <f>IF(listing_areas!C5&lt;&gt;"",listing_areas!C5,NA())</f>
        <v/>
      </c>
      <c r="V8">
        <f>IF(listing_areas!C5&lt;&gt;"",listing_areas!D5,NA())</f>
        <v/>
      </c>
    </row>
    <row r="9">
      <c r="A9" t="inlineStr">
        <is>
          <t>Source (ado or do-file)</t>
        </is>
      </c>
      <c r="B9" s="4">
        <f>IFERROR(INDEX(manifest!$B:$B,MATCH("source",manifest!$A:$A,0)),"not in this export")</f>
        <v/>
      </c>
      <c r="U9">
        <f>IF(listing_areas!C6&lt;&gt;"",listing_areas!C6,NA())</f>
        <v/>
      </c>
      <c r="V9">
        <f>IF(listing_areas!C6&lt;&gt;"",listing_areas!D6,NA())</f>
        <v/>
      </c>
    </row>
    <row r="10">
      <c r="A10" t="inlineStr">
        <is>
          <t>Input file</t>
        </is>
      </c>
      <c r="B10" s="4">
        <f>IFERROR(INDEX(manifest!$B:$B,MATCH("input_file",manifest!$A:$A,0)),"not in this export")</f>
        <v/>
      </c>
      <c r="U10">
        <f>IF(listing_areas!C7&lt;&gt;"",listing_areas!C7,NA())</f>
        <v/>
      </c>
      <c r="V10">
        <f>IF(listing_areas!C7&lt;&gt;"",listing_areas!D7,NA())</f>
        <v/>
      </c>
    </row>
    <row r="11">
      <c r="A11" t="inlineStr">
        <is>
          <t>Input rows</t>
        </is>
      </c>
      <c r="B11" s="4">
        <f>IFERROR(INDEX(manifest!$B:$B,MATCH("input_rows",manifest!$A:$A,0)),"not in this export")</f>
        <v/>
      </c>
      <c r="U11">
        <f>IF(listing_areas!C8&lt;&gt;"",listing_areas!C8,NA())</f>
        <v/>
      </c>
      <c r="V11">
        <f>IF(listing_areas!C8&lt;&gt;"",listing_areas!D8,NA())</f>
        <v/>
      </c>
    </row>
    <row r="12">
      <c r="A12" t="inlineStr">
        <is>
          <t>Command</t>
        </is>
      </c>
      <c r="B12" s="4">
        <f>IFERROR(INDEX(manifest!$B:$B,MATCH("command",manifest!$A:$A,0)),"not in this export")</f>
        <v/>
      </c>
      <c r="U12">
        <f>IF(listing_areas!C9&lt;&gt;"",listing_areas!C9,NA())</f>
        <v/>
      </c>
      <c r="V12">
        <f>IF(listing_areas!C9&lt;&gt;"",listing_areas!D9,NA())</f>
        <v/>
      </c>
    </row>
    <row r="13">
      <c r="U13">
        <f>IF(listing_areas!C10&lt;&gt;"",listing_areas!C10,NA())</f>
        <v/>
      </c>
      <c r="V13">
        <f>IF(listing_areas!C10&lt;&gt;"",listing_areas!D10,NA())</f>
        <v/>
      </c>
    </row>
    <row r="14">
      <c r="A14" s="3" t="inlineStr">
        <is>
          <t>Key numbers (r() results of the command)</t>
        </is>
      </c>
      <c r="U14">
        <f>IF(listing_areas!C11&lt;&gt;"",listing_areas!C11,NA())</f>
        <v/>
      </c>
      <c r="V14">
        <f>IF(listing_areas!C11&lt;&gt;"",listing_areas!D11,NA())</f>
        <v/>
      </c>
    </row>
    <row r="15">
      <c r="A15" t="inlineStr">
        <is>
          <t>Selected areas</t>
        </is>
      </c>
      <c r="B15" s="5">
        <f>IFERROR(INDEX(manifest!$B:$B,MATCH("summary_N_areas",manifest!$A:$A,0)),"not in this export")</f>
        <v/>
      </c>
      <c r="U15">
        <f>IF(listing_areas!C12&lt;&gt;"",listing_areas!C12,NA())</f>
        <v/>
      </c>
      <c r="V15">
        <f>IF(listing_areas!C12&lt;&gt;"",listing_areas!D12,NA())</f>
        <v/>
      </c>
    </row>
    <row r="16">
      <c r="A16" t="inlineStr">
        <is>
          <t>Areas segmented</t>
        </is>
      </c>
      <c r="B16" s="5">
        <f>IFERROR(INDEX(manifest!$B:$B,MATCH("summary_n_segmented",manifest!$A:$A,0)),"not in this export")</f>
        <v/>
      </c>
      <c r="U16">
        <f>IF(listing_areas!C13&lt;&gt;"",listing_areas!C13,NA())</f>
        <v/>
      </c>
      <c r="V16">
        <f>IF(listing_areas!C13&lt;&gt;"",listing_areas!D13,NA())</f>
        <v/>
      </c>
    </row>
    <row r="17">
      <c r="A17" t="inlineStr">
        <is>
          <t>Rows in the listing</t>
        </is>
      </c>
      <c r="B17" s="5">
        <f>IFERROR(INDEX(manifest!$B:$B,MATCH("summary_N_rows",manifest!$A:$A,0)),"not in this export")</f>
        <v/>
      </c>
      <c r="U17">
        <f>IF(listing_areas!C14&lt;&gt;"",listing_areas!C14,NA())</f>
        <v/>
      </c>
      <c r="V17">
        <f>IF(listing_areas!C14&lt;&gt;"",listing_areas!D14,NA())</f>
        <v/>
      </c>
    </row>
    <row r="18">
      <c r="A18" t="inlineStr">
        <is>
          <t>Areas returned</t>
        </is>
      </c>
      <c r="B18" s="5">
        <f>IFERROR(INDEX(manifest!$B:$B,MATCH("summary_n_returned",manifest!$A:$A,0)),"not in this export")</f>
        <v/>
      </c>
      <c r="U18">
        <f>IF(listing_areas!C15&lt;&gt;"",listing_areas!C15,NA())</f>
        <v/>
      </c>
      <c r="V18">
        <f>IF(listing_areas!C15&lt;&gt;"",listing_areas!D15,NA())</f>
        <v/>
      </c>
    </row>
    <row r="19">
      <c r="A19" t="inlineStr">
        <is>
          <t>Areas not returned</t>
        </is>
      </c>
      <c r="B19" s="5">
        <f>IFERROR(INDEX(manifest!$B:$B,MATCH("summary_n_not_returned",manifest!$A:$A,0)),"not in this export")</f>
        <v/>
      </c>
      <c r="U19">
        <f>IF(listing_areas!C16&lt;&gt;"",listing_areas!C16,NA())</f>
        <v/>
      </c>
      <c r="V19">
        <f>IF(listing_areas!C16&lt;&gt;"",listing_areas!D16,NA())</f>
        <v/>
      </c>
    </row>
    <row r="20">
      <c r="A20" t="inlineStr">
        <is>
          <t>Households in areas not selected</t>
        </is>
      </c>
      <c r="B20" s="5">
        <f>IFERROR(INDEX(manifest!$B:$B,MATCH("summary_n_not_selected",manifest!$A:$A,0)),"not in this export")</f>
        <v/>
      </c>
      <c r="U20">
        <f>IF(listing_areas!C17&lt;&gt;"",listing_areas!C17,NA())</f>
        <v/>
      </c>
      <c r="V20">
        <f>IF(listing_areas!C17&lt;&gt;"",listing_areas!D17,NA())</f>
        <v/>
      </c>
    </row>
    <row r="21">
      <c r="A21" t="inlineStr">
        <is>
          <t>Duplicate rows</t>
        </is>
      </c>
      <c r="B21" s="5">
        <f>IFERROR(INDEX(manifest!$B:$B,MATCH("summary_n_duplicates",manifest!$A:$A,0)),"not in this export")</f>
        <v/>
      </c>
      <c r="U21">
        <f>IF(listing_areas!C18&lt;&gt;"",listing_areas!C18,NA())</f>
        <v/>
      </c>
      <c r="V21">
        <f>IF(listing_areas!C18&lt;&gt;"",listing_areas!D18,NA())</f>
        <v/>
      </c>
    </row>
    <row r="22">
      <c r="A22" t="inlineStr">
        <is>
          <t>Under-listed areas</t>
        </is>
      </c>
      <c r="B22" s="5">
        <f>IFERROR(INDEX(manifest!$B:$B,MATCH("summary_n_under",manifest!$A:$A,0)),"not in this export")</f>
        <v/>
      </c>
      <c r="U22">
        <f>IF(listing_areas!C19&lt;&gt;"",listing_areas!C19,NA())</f>
        <v/>
      </c>
      <c r="V22">
        <f>IF(listing_areas!C19&lt;&gt;"",listing_areas!D19,NA())</f>
        <v/>
      </c>
    </row>
    <row r="23">
      <c r="A23" t="inlineStr">
        <is>
          <t>Over-listed areas</t>
        </is>
      </c>
      <c r="B23" s="5">
        <f>IFERROR(INDEX(manifest!$B:$B,MATCH("summary_n_over",manifest!$A:$A,0)),"not in this export")</f>
        <v/>
      </c>
      <c r="U23">
        <f>IF(listing_areas!C20&lt;&gt;"",listing_areas!C20,NA())</f>
        <v/>
      </c>
      <c r="V23">
        <f>IF(listing_areas!C20&lt;&gt;"",listing_areas!D20,NA())</f>
        <v/>
      </c>
    </row>
    <row r="24">
      <c r="A24" t="inlineStr">
        <is>
          <t>Eligible households in the frame</t>
        </is>
      </c>
      <c r="B24" s="5">
        <f>IFERROR(INDEX(manifest!$B:$B,MATCH("summary_N_frame",manifest!$A:$A,0)),"not in this export")</f>
        <v/>
      </c>
      <c r="U24">
        <f>IF(listing_areas!C21&lt;&gt;"",listing_areas!C21,NA())</f>
        <v/>
      </c>
      <c r="V24">
        <f>IF(listing_areas!C21&lt;&gt;"",listing_areas!D21,NA())</f>
        <v/>
      </c>
    </row>
    <row r="25">
      <c r="U25">
        <f>IF(listing_areas!C22&lt;&gt;"",listing_areas!C22,NA())</f>
        <v/>
      </c>
      <c r="V25">
        <f>IF(listing_areas!C22&lt;&gt;"",listing_areas!D22,NA())</f>
        <v/>
      </c>
    </row>
    <row r="26">
      <c r="A26" s="3" t="inlineStr">
        <is>
          <t>Checks (listing_checks.csv)</t>
        </is>
      </c>
      <c r="U26">
        <f>IF(listing_areas!C23&lt;&gt;"",listing_areas!C23,NA())</f>
        <v/>
      </c>
      <c r="V26">
        <f>IF(listing_areas!C23&lt;&gt;"",listing_areas!D23,NA())</f>
        <v/>
      </c>
    </row>
    <row r="27">
      <c r="A27" s="6" t="inlineStr">
        <is>
          <t>check</t>
        </is>
      </c>
      <c r="B27" s="6" t="inlineStr">
        <is>
          <t>n</t>
        </is>
      </c>
      <c r="C27" s="6" t="inlineStr">
        <is>
          <t>status</t>
        </is>
      </c>
      <c r="D27" s="6" t="inlineStr">
        <is>
          <t>detail</t>
        </is>
      </c>
      <c r="U27">
        <f>IF(listing_areas!C24&lt;&gt;"",listing_areas!C24,NA())</f>
        <v/>
      </c>
      <c r="V27">
        <f>IF(listing_areas!C24&lt;&gt;"",listing_areas!D24,NA())</f>
        <v/>
      </c>
    </row>
    <row r="28">
      <c r="A28">
        <f>IF(listing_checks!A2="","",listing_checks!A2)</f>
        <v/>
      </c>
      <c r="B28" s="7">
        <f>IF(listing_checks!B2="","",listing_checks!B2)</f>
        <v/>
      </c>
      <c r="C28">
        <f>IF(listing_checks!C2="","",listing_checks!C2)</f>
        <v/>
      </c>
      <c r="D28">
        <f>IF(listing_checks!D2="","",listing_checks!D2)</f>
        <v/>
      </c>
      <c r="U28">
        <f>IF(listing_areas!C25&lt;&gt;"",listing_areas!C25,NA())</f>
        <v/>
      </c>
      <c r="V28">
        <f>IF(listing_areas!C25&lt;&gt;"",listing_areas!D25,NA())</f>
        <v/>
      </c>
    </row>
    <row r="29">
      <c r="A29">
        <f>IF(listing_checks!A3="","",listing_checks!A3)</f>
        <v/>
      </c>
      <c r="B29" s="7">
        <f>IF(listing_checks!B3="","",listing_checks!B3)</f>
        <v/>
      </c>
      <c r="C29">
        <f>IF(listing_checks!C3="","",listing_checks!C3)</f>
        <v/>
      </c>
      <c r="D29">
        <f>IF(listing_checks!D3="","",listing_checks!D3)</f>
        <v/>
      </c>
      <c r="U29">
        <f>IF(listing_areas!C26&lt;&gt;"",listing_areas!C26,NA())</f>
        <v/>
      </c>
      <c r="V29">
        <f>IF(listing_areas!C26&lt;&gt;"",listing_areas!D26,NA())</f>
        <v/>
      </c>
    </row>
    <row r="30">
      <c r="A30">
        <f>IF(listing_checks!A4="","",listing_checks!A4)</f>
        <v/>
      </c>
      <c r="B30" s="7">
        <f>IF(listing_checks!B4="","",listing_checks!B4)</f>
        <v/>
      </c>
      <c r="C30">
        <f>IF(listing_checks!C4="","",listing_checks!C4)</f>
        <v/>
      </c>
      <c r="D30">
        <f>IF(listing_checks!D4="","",listing_checks!D4)</f>
        <v/>
      </c>
      <c r="U30">
        <f>IF(listing_areas!C27&lt;&gt;"",listing_areas!C27,NA())</f>
        <v/>
      </c>
      <c r="V30">
        <f>IF(listing_areas!C27&lt;&gt;"",listing_areas!D27,NA())</f>
        <v/>
      </c>
    </row>
    <row r="31">
      <c r="A31">
        <f>IF(listing_checks!A5="","",listing_checks!A5)</f>
        <v/>
      </c>
      <c r="B31" s="7">
        <f>IF(listing_checks!B5="","",listing_checks!B5)</f>
        <v/>
      </c>
      <c r="C31">
        <f>IF(listing_checks!C5="","",listing_checks!C5)</f>
        <v/>
      </c>
      <c r="D31">
        <f>IF(listing_checks!D5="","",listing_checks!D5)</f>
        <v/>
      </c>
      <c r="U31">
        <f>IF(listing_areas!C28&lt;&gt;"",listing_areas!C28,NA())</f>
        <v/>
      </c>
      <c r="V31">
        <f>IF(listing_areas!C28&lt;&gt;"",listing_areas!D28,NA())</f>
        <v/>
      </c>
    </row>
    <row r="32">
      <c r="A32">
        <f>IF(listing_checks!A6="","",listing_checks!A6)</f>
        <v/>
      </c>
      <c r="B32" s="7">
        <f>IF(listing_checks!B6="","",listing_checks!B6)</f>
        <v/>
      </c>
      <c r="C32">
        <f>IF(listing_checks!C6="","",listing_checks!C6)</f>
        <v/>
      </c>
      <c r="D32">
        <f>IF(listing_checks!D6="","",listing_checks!D6)</f>
        <v/>
      </c>
      <c r="U32">
        <f>IF(listing_areas!C29&lt;&gt;"",listing_areas!C29,NA())</f>
        <v/>
      </c>
      <c r="V32">
        <f>IF(listing_areas!C29&lt;&gt;"",listing_areas!D29,NA())</f>
        <v/>
      </c>
    </row>
    <row r="33">
      <c r="A33">
        <f>IF(listing_checks!A7="","",listing_checks!A7)</f>
        <v/>
      </c>
      <c r="B33" s="7">
        <f>IF(listing_checks!B7="","",listing_checks!B7)</f>
        <v/>
      </c>
      <c r="C33">
        <f>IF(listing_checks!C7="","",listing_checks!C7)</f>
        <v/>
      </c>
      <c r="D33">
        <f>IF(listing_checks!D7="","",listing_checks!D7)</f>
        <v/>
      </c>
      <c r="U33">
        <f>IF(listing_areas!C30&lt;&gt;"",listing_areas!C30,NA())</f>
        <v/>
      </c>
      <c r="V33">
        <f>IF(listing_areas!C30&lt;&gt;"",listing_areas!D30,NA())</f>
        <v/>
      </c>
    </row>
    <row r="34">
      <c r="A34">
        <f>IF(listing_checks!A8="","",listing_checks!A8)</f>
        <v/>
      </c>
      <c r="B34" s="7">
        <f>IF(listing_checks!B8="","",listing_checks!B8)</f>
        <v/>
      </c>
      <c r="C34">
        <f>IF(listing_checks!C8="","",listing_checks!C8)</f>
        <v/>
      </c>
      <c r="D34">
        <f>IF(listing_checks!D8="","",listing_checks!D8)</f>
        <v/>
      </c>
      <c r="U34">
        <f>IF(listing_areas!C31&lt;&gt;"",listing_areas!C31,NA())</f>
        <v/>
      </c>
      <c r="V34">
        <f>IF(listing_areas!C31&lt;&gt;"",listing_areas!D31,NA())</f>
        <v/>
      </c>
    </row>
    <row r="35">
      <c r="A35">
        <f>IF(listing_checks!A9="","",listing_checks!A9)</f>
        <v/>
      </c>
      <c r="B35" s="7">
        <f>IF(listing_checks!B9="","",listing_checks!B9)</f>
        <v/>
      </c>
      <c r="C35">
        <f>IF(listing_checks!C9="","",listing_checks!C9)</f>
        <v/>
      </c>
      <c r="D35">
        <f>IF(listing_checks!D9="","",listing_checks!D9)</f>
        <v/>
      </c>
      <c r="U35">
        <f>IF(listing_areas!C32&lt;&gt;"",listing_areas!C32,NA())</f>
        <v/>
      </c>
      <c r="V35">
        <f>IF(listing_areas!C32&lt;&gt;"",listing_areas!D32,NA())</f>
        <v/>
      </c>
    </row>
    <row r="36">
      <c r="A36">
        <f>IF(listing_checks!A10="","",listing_checks!A10)</f>
        <v/>
      </c>
      <c r="B36" s="7">
        <f>IF(listing_checks!B10="","",listing_checks!B10)</f>
        <v/>
      </c>
      <c r="C36">
        <f>IF(listing_checks!C10="","",listing_checks!C10)</f>
        <v/>
      </c>
      <c r="D36">
        <f>IF(listing_checks!D10="","",listing_checks!D10)</f>
        <v/>
      </c>
      <c r="U36">
        <f>IF(listing_areas!C33&lt;&gt;"",listing_areas!C33,NA())</f>
        <v/>
      </c>
      <c r="V36">
        <f>IF(listing_areas!C33&lt;&gt;"",listing_areas!D33,NA())</f>
        <v/>
      </c>
    </row>
    <row r="37">
      <c r="A37">
        <f>IF(listing_checks!A11="","",listing_checks!A11)</f>
        <v/>
      </c>
      <c r="B37" s="7">
        <f>IF(listing_checks!B11="","",listing_checks!B11)</f>
        <v/>
      </c>
      <c r="C37">
        <f>IF(listing_checks!C11="","",listing_checks!C11)</f>
        <v/>
      </c>
      <c r="D37">
        <f>IF(listing_checks!D11="","",listing_checks!D11)</f>
        <v/>
      </c>
      <c r="U37">
        <f>IF(listing_areas!C34&lt;&gt;"",listing_areas!C34,NA())</f>
        <v/>
      </c>
      <c r="V37">
        <f>IF(listing_areas!C34&lt;&gt;"",listing_areas!D34,NA())</f>
        <v/>
      </c>
    </row>
    <row r="38">
      <c r="A38">
        <f>IF(listing_checks!A12="","",listing_checks!A12)</f>
        <v/>
      </c>
      <c r="B38" s="7">
        <f>IF(listing_checks!B12="","",listing_checks!B12)</f>
        <v/>
      </c>
      <c r="C38">
        <f>IF(listing_checks!C12="","",listing_checks!C12)</f>
        <v/>
      </c>
      <c r="D38">
        <f>IF(listing_checks!D12="","",listing_checks!D12)</f>
        <v/>
      </c>
      <c r="U38">
        <f>IF(listing_areas!C35&lt;&gt;"",listing_areas!C35,NA())</f>
        <v/>
      </c>
      <c r="V38">
        <f>IF(listing_areas!C35&lt;&gt;"",listing_areas!D35,NA())</f>
        <v/>
      </c>
    </row>
    <row r="39">
      <c r="A39">
        <f>IF(listing_checks!A13="","",listing_checks!A13)</f>
        <v/>
      </c>
      <c r="B39" s="7">
        <f>IF(listing_checks!B13="","",listing_checks!B13)</f>
        <v/>
      </c>
      <c r="C39">
        <f>IF(listing_checks!C13="","",listing_checks!C13)</f>
        <v/>
      </c>
      <c r="D39">
        <f>IF(listing_checks!D13="","",listing_checks!D13)</f>
        <v/>
      </c>
      <c r="U39">
        <f>IF(listing_areas!C36&lt;&gt;"",listing_areas!C36,NA())</f>
        <v/>
      </c>
      <c r="V39">
        <f>IF(listing_areas!C36&lt;&gt;"",listing_areas!D36,NA())</f>
        <v/>
      </c>
    </row>
    <row r="40">
      <c r="U40">
        <f>IF(listing_areas!C37&lt;&gt;"",listing_areas!C37,NA())</f>
        <v/>
      </c>
      <c r="V40">
        <f>IF(listing_areas!C37&lt;&gt;"",listing_areas!D37,NA())</f>
        <v/>
      </c>
    </row>
    <row r="41">
      <c r="A41" s="3" t="inlineStr">
        <is>
          <t>Areas (listing_areas.csv, first 100 rows)</t>
        </is>
      </c>
      <c r="U41">
        <f>IF(listing_areas!C38&lt;&gt;"",listing_areas!C38,NA())</f>
        <v/>
      </c>
      <c r="V41">
        <f>IF(listing_areas!C38&lt;&gt;"",listing_areas!D38,NA())</f>
        <v/>
      </c>
    </row>
    <row r="42">
      <c r="A42" s="6" t="inlineStr">
        <is>
          <t>area_id</t>
        </is>
      </c>
      <c r="B42" s="6" t="inlineStr">
        <is>
          <t>stratum</t>
        </is>
      </c>
      <c r="C42" s="6" t="inlineStr">
        <is>
          <t>expected</t>
        </is>
      </c>
      <c r="D42" s="6" t="inlineStr">
        <is>
          <t>listed</t>
        </is>
      </c>
      <c r="E42" s="6" t="inlineStr">
        <is>
          <t>eligible</t>
        </is>
      </c>
      <c r="F42" s="6" t="inlineStr">
        <is>
          <t>ratio</t>
        </is>
      </c>
      <c r="G42" s="6" t="inlineStr">
        <is>
          <t>segments</t>
        </is>
      </c>
      <c r="H42" s="6" t="inlineStr">
        <is>
          <t>segment_selected</t>
        </is>
      </c>
      <c r="I42" s="6" t="inlineStr">
        <is>
          <t>flag</t>
        </is>
      </c>
      <c r="U42">
        <f>IF(listing_areas!C39&lt;&gt;"",listing_areas!C39,NA())</f>
        <v/>
      </c>
      <c r="V42">
        <f>IF(listing_areas!C39&lt;&gt;"",listing_areas!D39,NA())</f>
        <v/>
      </c>
    </row>
    <row r="43">
      <c r="A43">
        <f>IF(listing_areas!A2="","",listing_areas!A2)</f>
        <v/>
      </c>
      <c r="B43">
        <f>IF(listing_areas!B2="","",listing_areas!B2)</f>
        <v/>
      </c>
      <c r="C43" s="7">
        <f>IF(listing_areas!C2="","",listing_areas!C2)</f>
        <v/>
      </c>
      <c r="D43" s="7">
        <f>IF(listing_areas!D2="","",listing_areas!D2)</f>
        <v/>
      </c>
      <c r="E43" s="7">
        <f>IF(listing_areas!E2="","",listing_areas!E2)</f>
        <v/>
      </c>
      <c r="F43" s="9">
        <f>IF(listing_areas!F2="","",listing_areas!F2)</f>
        <v/>
      </c>
      <c r="G43" s="13">
        <f>IF(listing_areas!G2="","",listing_areas!G2)</f>
        <v/>
      </c>
      <c r="H43" s="13">
        <f>IF(listing_areas!H2="","",listing_areas!H2)</f>
        <v/>
      </c>
      <c r="I43">
        <f>IF(listing_areas!I2="","",listing_areas!I2)</f>
        <v/>
      </c>
      <c r="U43">
        <f>IF(listing_areas!C40&lt;&gt;"",listing_areas!C40,NA())</f>
        <v/>
      </c>
      <c r="V43">
        <f>IF(listing_areas!C40&lt;&gt;"",listing_areas!D40,NA())</f>
        <v/>
      </c>
    </row>
    <row r="44">
      <c r="A44">
        <f>IF(listing_areas!A3="","",listing_areas!A3)</f>
        <v/>
      </c>
      <c r="B44">
        <f>IF(listing_areas!B3="","",listing_areas!B3)</f>
        <v/>
      </c>
      <c r="C44" s="7">
        <f>IF(listing_areas!C3="","",listing_areas!C3)</f>
        <v/>
      </c>
      <c r="D44" s="7">
        <f>IF(listing_areas!D3="","",listing_areas!D3)</f>
        <v/>
      </c>
      <c r="E44" s="7">
        <f>IF(listing_areas!E3="","",listing_areas!E3)</f>
        <v/>
      </c>
      <c r="F44" s="9">
        <f>IF(listing_areas!F3="","",listing_areas!F3)</f>
        <v/>
      </c>
      <c r="G44" s="13">
        <f>IF(listing_areas!G3="","",listing_areas!G3)</f>
        <v/>
      </c>
      <c r="H44" s="13">
        <f>IF(listing_areas!H3="","",listing_areas!H3)</f>
        <v/>
      </c>
      <c r="I44">
        <f>IF(listing_areas!I3="","",listing_areas!I3)</f>
        <v/>
      </c>
      <c r="U44">
        <f>IF(listing_areas!C41&lt;&gt;"",listing_areas!C41,NA())</f>
        <v/>
      </c>
      <c r="V44">
        <f>IF(listing_areas!C41&lt;&gt;"",listing_areas!D41,NA())</f>
        <v/>
      </c>
    </row>
    <row r="45">
      <c r="A45">
        <f>IF(listing_areas!A4="","",listing_areas!A4)</f>
        <v/>
      </c>
      <c r="B45">
        <f>IF(listing_areas!B4="","",listing_areas!B4)</f>
        <v/>
      </c>
      <c r="C45" s="7">
        <f>IF(listing_areas!C4="","",listing_areas!C4)</f>
        <v/>
      </c>
      <c r="D45" s="7">
        <f>IF(listing_areas!D4="","",listing_areas!D4)</f>
        <v/>
      </c>
      <c r="E45" s="7">
        <f>IF(listing_areas!E4="","",listing_areas!E4)</f>
        <v/>
      </c>
      <c r="F45" s="9">
        <f>IF(listing_areas!F4="","",listing_areas!F4)</f>
        <v/>
      </c>
      <c r="G45" s="13">
        <f>IF(listing_areas!G4="","",listing_areas!G4)</f>
        <v/>
      </c>
      <c r="H45" s="13">
        <f>IF(listing_areas!H4="","",listing_areas!H4)</f>
        <v/>
      </c>
      <c r="I45">
        <f>IF(listing_areas!I4="","",listing_areas!I4)</f>
        <v/>
      </c>
      <c r="U45">
        <f>IF(listing_areas!C42&lt;&gt;"",listing_areas!C42,NA())</f>
        <v/>
      </c>
      <c r="V45">
        <f>IF(listing_areas!C42&lt;&gt;"",listing_areas!D42,NA())</f>
        <v/>
      </c>
    </row>
    <row r="46">
      <c r="A46">
        <f>IF(listing_areas!A5="","",listing_areas!A5)</f>
        <v/>
      </c>
      <c r="B46">
        <f>IF(listing_areas!B5="","",listing_areas!B5)</f>
        <v/>
      </c>
      <c r="C46" s="7">
        <f>IF(listing_areas!C5="","",listing_areas!C5)</f>
        <v/>
      </c>
      <c r="D46" s="7">
        <f>IF(listing_areas!D5="","",listing_areas!D5)</f>
        <v/>
      </c>
      <c r="E46" s="7">
        <f>IF(listing_areas!E5="","",listing_areas!E5)</f>
        <v/>
      </c>
      <c r="F46" s="9">
        <f>IF(listing_areas!F5="","",listing_areas!F5)</f>
        <v/>
      </c>
      <c r="G46" s="13">
        <f>IF(listing_areas!G5="","",listing_areas!G5)</f>
        <v/>
      </c>
      <c r="H46" s="13">
        <f>IF(listing_areas!H5="","",listing_areas!H5)</f>
        <v/>
      </c>
      <c r="I46">
        <f>IF(listing_areas!I5="","",listing_areas!I5)</f>
        <v/>
      </c>
      <c r="U46">
        <f>IF(listing_areas!C43&lt;&gt;"",listing_areas!C43,NA())</f>
        <v/>
      </c>
      <c r="V46">
        <f>IF(listing_areas!C43&lt;&gt;"",listing_areas!D43,NA())</f>
        <v/>
      </c>
    </row>
    <row r="47">
      <c r="A47">
        <f>IF(listing_areas!A6="","",listing_areas!A6)</f>
        <v/>
      </c>
      <c r="B47">
        <f>IF(listing_areas!B6="","",listing_areas!B6)</f>
        <v/>
      </c>
      <c r="C47" s="7">
        <f>IF(listing_areas!C6="","",listing_areas!C6)</f>
        <v/>
      </c>
      <c r="D47" s="7">
        <f>IF(listing_areas!D6="","",listing_areas!D6)</f>
        <v/>
      </c>
      <c r="E47" s="7">
        <f>IF(listing_areas!E6="","",listing_areas!E6)</f>
        <v/>
      </c>
      <c r="F47" s="9">
        <f>IF(listing_areas!F6="","",listing_areas!F6)</f>
        <v/>
      </c>
      <c r="G47" s="13">
        <f>IF(listing_areas!G6="","",listing_areas!G6)</f>
        <v/>
      </c>
      <c r="H47" s="13">
        <f>IF(listing_areas!H6="","",listing_areas!H6)</f>
        <v/>
      </c>
      <c r="I47">
        <f>IF(listing_areas!I6="","",listing_areas!I6)</f>
        <v/>
      </c>
      <c r="U47">
        <f>IF(listing_areas!C44&lt;&gt;"",listing_areas!C44,NA())</f>
        <v/>
      </c>
      <c r="V47">
        <f>IF(listing_areas!C44&lt;&gt;"",listing_areas!D44,NA())</f>
        <v/>
      </c>
    </row>
    <row r="48">
      <c r="A48">
        <f>IF(listing_areas!A7="","",listing_areas!A7)</f>
        <v/>
      </c>
      <c r="B48">
        <f>IF(listing_areas!B7="","",listing_areas!B7)</f>
        <v/>
      </c>
      <c r="C48" s="7">
        <f>IF(listing_areas!C7="","",listing_areas!C7)</f>
        <v/>
      </c>
      <c r="D48" s="7">
        <f>IF(listing_areas!D7="","",listing_areas!D7)</f>
        <v/>
      </c>
      <c r="E48" s="7">
        <f>IF(listing_areas!E7="","",listing_areas!E7)</f>
        <v/>
      </c>
      <c r="F48" s="9">
        <f>IF(listing_areas!F7="","",listing_areas!F7)</f>
        <v/>
      </c>
      <c r="G48" s="13">
        <f>IF(listing_areas!G7="","",listing_areas!G7)</f>
        <v/>
      </c>
      <c r="H48" s="13">
        <f>IF(listing_areas!H7="","",listing_areas!H7)</f>
        <v/>
      </c>
      <c r="I48">
        <f>IF(listing_areas!I7="","",listing_areas!I7)</f>
        <v/>
      </c>
      <c r="U48">
        <f>IF(listing_areas!C45&lt;&gt;"",listing_areas!C45,NA())</f>
        <v/>
      </c>
      <c r="V48">
        <f>IF(listing_areas!C45&lt;&gt;"",listing_areas!D45,NA())</f>
        <v/>
      </c>
    </row>
    <row r="49">
      <c r="A49">
        <f>IF(listing_areas!A8="","",listing_areas!A8)</f>
        <v/>
      </c>
      <c r="B49">
        <f>IF(listing_areas!B8="","",listing_areas!B8)</f>
        <v/>
      </c>
      <c r="C49" s="7">
        <f>IF(listing_areas!C8="","",listing_areas!C8)</f>
        <v/>
      </c>
      <c r="D49" s="7">
        <f>IF(listing_areas!D8="","",listing_areas!D8)</f>
        <v/>
      </c>
      <c r="E49" s="7">
        <f>IF(listing_areas!E8="","",listing_areas!E8)</f>
        <v/>
      </c>
      <c r="F49" s="9">
        <f>IF(listing_areas!F8="","",listing_areas!F8)</f>
        <v/>
      </c>
      <c r="G49" s="13">
        <f>IF(listing_areas!G8="","",listing_areas!G8)</f>
        <v/>
      </c>
      <c r="H49" s="13">
        <f>IF(listing_areas!H8="","",listing_areas!H8)</f>
        <v/>
      </c>
      <c r="I49">
        <f>IF(listing_areas!I8="","",listing_areas!I8)</f>
        <v/>
      </c>
      <c r="U49">
        <f>IF(listing_areas!C46&lt;&gt;"",listing_areas!C46,NA())</f>
        <v/>
      </c>
      <c r="V49">
        <f>IF(listing_areas!C46&lt;&gt;"",listing_areas!D46,NA())</f>
        <v/>
      </c>
    </row>
    <row r="50">
      <c r="A50">
        <f>IF(listing_areas!A9="","",listing_areas!A9)</f>
        <v/>
      </c>
      <c r="B50">
        <f>IF(listing_areas!B9="","",listing_areas!B9)</f>
        <v/>
      </c>
      <c r="C50" s="7">
        <f>IF(listing_areas!C9="","",listing_areas!C9)</f>
        <v/>
      </c>
      <c r="D50" s="7">
        <f>IF(listing_areas!D9="","",listing_areas!D9)</f>
        <v/>
      </c>
      <c r="E50" s="7">
        <f>IF(listing_areas!E9="","",listing_areas!E9)</f>
        <v/>
      </c>
      <c r="F50" s="9">
        <f>IF(listing_areas!F9="","",listing_areas!F9)</f>
        <v/>
      </c>
      <c r="G50" s="13">
        <f>IF(listing_areas!G9="","",listing_areas!G9)</f>
        <v/>
      </c>
      <c r="H50" s="13">
        <f>IF(listing_areas!H9="","",listing_areas!H9)</f>
        <v/>
      </c>
      <c r="I50">
        <f>IF(listing_areas!I9="","",listing_areas!I9)</f>
        <v/>
      </c>
      <c r="U50">
        <f>IF(listing_areas!C47&lt;&gt;"",listing_areas!C47,NA())</f>
        <v/>
      </c>
      <c r="V50">
        <f>IF(listing_areas!C47&lt;&gt;"",listing_areas!D47,NA())</f>
        <v/>
      </c>
    </row>
    <row r="51">
      <c r="A51">
        <f>IF(listing_areas!A10="","",listing_areas!A10)</f>
        <v/>
      </c>
      <c r="B51">
        <f>IF(listing_areas!B10="","",listing_areas!B10)</f>
        <v/>
      </c>
      <c r="C51" s="7">
        <f>IF(listing_areas!C10="","",listing_areas!C10)</f>
        <v/>
      </c>
      <c r="D51" s="7">
        <f>IF(listing_areas!D10="","",listing_areas!D10)</f>
        <v/>
      </c>
      <c r="E51" s="7">
        <f>IF(listing_areas!E10="","",listing_areas!E10)</f>
        <v/>
      </c>
      <c r="F51" s="9">
        <f>IF(listing_areas!F10="","",listing_areas!F10)</f>
        <v/>
      </c>
      <c r="G51" s="13">
        <f>IF(listing_areas!G10="","",listing_areas!G10)</f>
        <v/>
      </c>
      <c r="H51" s="13">
        <f>IF(listing_areas!H10="","",listing_areas!H10)</f>
        <v/>
      </c>
      <c r="I51">
        <f>IF(listing_areas!I10="","",listing_areas!I10)</f>
        <v/>
      </c>
      <c r="U51">
        <f>IF(listing_areas!C48&lt;&gt;"",listing_areas!C48,NA())</f>
        <v/>
      </c>
      <c r="V51">
        <f>IF(listing_areas!C48&lt;&gt;"",listing_areas!D48,NA())</f>
        <v/>
      </c>
    </row>
    <row r="52">
      <c r="A52">
        <f>IF(listing_areas!A11="","",listing_areas!A11)</f>
        <v/>
      </c>
      <c r="B52">
        <f>IF(listing_areas!B11="","",listing_areas!B11)</f>
        <v/>
      </c>
      <c r="C52" s="7">
        <f>IF(listing_areas!C11="","",listing_areas!C11)</f>
        <v/>
      </c>
      <c r="D52" s="7">
        <f>IF(listing_areas!D11="","",listing_areas!D11)</f>
        <v/>
      </c>
      <c r="E52" s="7">
        <f>IF(listing_areas!E11="","",listing_areas!E11)</f>
        <v/>
      </c>
      <c r="F52" s="9">
        <f>IF(listing_areas!F11="","",listing_areas!F11)</f>
        <v/>
      </c>
      <c r="G52" s="13">
        <f>IF(listing_areas!G11="","",listing_areas!G11)</f>
        <v/>
      </c>
      <c r="H52" s="13">
        <f>IF(listing_areas!H11="","",listing_areas!H11)</f>
        <v/>
      </c>
      <c r="I52">
        <f>IF(listing_areas!I11="","",listing_areas!I11)</f>
        <v/>
      </c>
      <c r="U52">
        <f>IF(listing_areas!C49&lt;&gt;"",listing_areas!C49,NA())</f>
        <v/>
      </c>
      <c r="V52">
        <f>IF(listing_areas!C49&lt;&gt;"",listing_areas!D49,NA())</f>
        <v/>
      </c>
    </row>
    <row r="53">
      <c r="A53">
        <f>IF(listing_areas!A12="","",listing_areas!A12)</f>
        <v/>
      </c>
      <c r="B53">
        <f>IF(listing_areas!B12="","",listing_areas!B12)</f>
        <v/>
      </c>
      <c r="C53" s="7">
        <f>IF(listing_areas!C12="","",listing_areas!C12)</f>
        <v/>
      </c>
      <c r="D53" s="7">
        <f>IF(listing_areas!D12="","",listing_areas!D12)</f>
        <v/>
      </c>
      <c r="E53" s="7">
        <f>IF(listing_areas!E12="","",listing_areas!E12)</f>
        <v/>
      </c>
      <c r="F53" s="9">
        <f>IF(listing_areas!F12="","",listing_areas!F12)</f>
        <v/>
      </c>
      <c r="G53" s="13">
        <f>IF(listing_areas!G12="","",listing_areas!G12)</f>
        <v/>
      </c>
      <c r="H53" s="13">
        <f>IF(listing_areas!H12="","",listing_areas!H12)</f>
        <v/>
      </c>
      <c r="I53">
        <f>IF(listing_areas!I12="","",listing_areas!I12)</f>
        <v/>
      </c>
      <c r="U53">
        <f>IF(listing_areas!C50&lt;&gt;"",listing_areas!C50,NA())</f>
        <v/>
      </c>
      <c r="V53">
        <f>IF(listing_areas!C50&lt;&gt;"",listing_areas!D50,NA())</f>
        <v/>
      </c>
    </row>
    <row r="54">
      <c r="A54">
        <f>IF(listing_areas!A13="","",listing_areas!A13)</f>
        <v/>
      </c>
      <c r="B54">
        <f>IF(listing_areas!B13="","",listing_areas!B13)</f>
        <v/>
      </c>
      <c r="C54" s="7">
        <f>IF(listing_areas!C13="","",listing_areas!C13)</f>
        <v/>
      </c>
      <c r="D54" s="7">
        <f>IF(listing_areas!D13="","",listing_areas!D13)</f>
        <v/>
      </c>
      <c r="E54" s="7">
        <f>IF(listing_areas!E13="","",listing_areas!E13)</f>
        <v/>
      </c>
      <c r="F54" s="9">
        <f>IF(listing_areas!F13="","",listing_areas!F13)</f>
        <v/>
      </c>
      <c r="G54" s="13">
        <f>IF(listing_areas!G13="","",listing_areas!G13)</f>
        <v/>
      </c>
      <c r="H54" s="13">
        <f>IF(listing_areas!H13="","",listing_areas!H13)</f>
        <v/>
      </c>
      <c r="I54">
        <f>IF(listing_areas!I13="","",listing_areas!I13)</f>
        <v/>
      </c>
      <c r="U54">
        <f>IF(listing_areas!C51&lt;&gt;"",listing_areas!C51,NA())</f>
        <v/>
      </c>
      <c r="V54">
        <f>IF(listing_areas!C51&lt;&gt;"",listing_areas!D51,NA())</f>
        <v/>
      </c>
    </row>
    <row r="55">
      <c r="A55">
        <f>IF(listing_areas!A14="","",listing_areas!A14)</f>
        <v/>
      </c>
      <c r="B55">
        <f>IF(listing_areas!B14="","",listing_areas!B14)</f>
        <v/>
      </c>
      <c r="C55" s="7">
        <f>IF(listing_areas!C14="","",listing_areas!C14)</f>
        <v/>
      </c>
      <c r="D55" s="7">
        <f>IF(listing_areas!D14="","",listing_areas!D14)</f>
        <v/>
      </c>
      <c r="E55" s="7">
        <f>IF(listing_areas!E14="","",listing_areas!E14)</f>
        <v/>
      </c>
      <c r="F55" s="9">
        <f>IF(listing_areas!F14="","",listing_areas!F14)</f>
        <v/>
      </c>
      <c r="G55" s="13">
        <f>IF(listing_areas!G14="","",listing_areas!G14)</f>
        <v/>
      </c>
      <c r="H55" s="13">
        <f>IF(listing_areas!H14="","",listing_areas!H14)</f>
        <v/>
      </c>
      <c r="I55">
        <f>IF(listing_areas!I14="","",listing_areas!I14)</f>
        <v/>
      </c>
      <c r="U55">
        <f>IF(listing_areas!C52&lt;&gt;"",listing_areas!C52,NA())</f>
        <v/>
      </c>
      <c r="V55">
        <f>IF(listing_areas!C52&lt;&gt;"",listing_areas!D52,NA())</f>
        <v/>
      </c>
    </row>
    <row r="56">
      <c r="A56">
        <f>IF(listing_areas!A15="","",listing_areas!A15)</f>
        <v/>
      </c>
      <c r="B56">
        <f>IF(listing_areas!B15="","",listing_areas!B15)</f>
        <v/>
      </c>
      <c r="C56" s="7">
        <f>IF(listing_areas!C15="","",listing_areas!C15)</f>
        <v/>
      </c>
      <c r="D56" s="7">
        <f>IF(listing_areas!D15="","",listing_areas!D15)</f>
        <v/>
      </c>
      <c r="E56" s="7">
        <f>IF(listing_areas!E15="","",listing_areas!E15)</f>
        <v/>
      </c>
      <c r="F56" s="9">
        <f>IF(listing_areas!F15="","",listing_areas!F15)</f>
        <v/>
      </c>
      <c r="G56" s="13">
        <f>IF(listing_areas!G15="","",listing_areas!G15)</f>
        <v/>
      </c>
      <c r="H56" s="13">
        <f>IF(listing_areas!H15="","",listing_areas!H15)</f>
        <v/>
      </c>
      <c r="I56">
        <f>IF(listing_areas!I15="","",listing_areas!I15)</f>
        <v/>
      </c>
      <c r="U56">
        <f>IF(listing_areas!C53&lt;&gt;"",listing_areas!C53,NA())</f>
        <v/>
      </c>
      <c r="V56">
        <f>IF(listing_areas!C53&lt;&gt;"",listing_areas!D53,NA())</f>
        <v/>
      </c>
    </row>
    <row r="57">
      <c r="A57">
        <f>IF(listing_areas!A16="","",listing_areas!A16)</f>
        <v/>
      </c>
      <c r="B57">
        <f>IF(listing_areas!B16="","",listing_areas!B16)</f>
        <v/>
      </c>
      <c r="C57" s="7">
        <f>IF(listing_areas!C16="","",listing_areas!C16)</f>
        <v/>
      </c>
      <c r="D57" s="7">
        <f>IF(listing_areas!D16="","",listing_areas!D16)</f>
        <v/>
      </c>
      <c r="E57" s="7">
        <f>IF(listing_areas!E16="","",listing_areas!E16)</f>
        <v/>
      </c>
      <c r="F57" s="9">
        <f>IF(listing_areas!F16="","",listing_areas!F16)</f>
        <v/>
      </c>
      <c r="G57" s="13">
        <f>IF(listing_areas!G16="","",listing_areas!G16)</f>
        <v/>
      </c>
      <c r="H57" s="13">
        <f>IF(listing_areas!H16="","",listing_areas!H16)</f>
        <v/>
      </c>
      <c r="I57">
        <f>IF(listing_areas!I16="","",listing_areas!I16)</f>
        <v/>
      </c>
      <c r="U57">
        <f>IF(listing_areas!C54&lt;&gt;"",listing_areas!C54,NA())</f>
        <v/>
      </c>
      <c r="V57">
        <f>IF(listing_areas!C54&lt;&gt;"",listing_areas!D54,NA())</f>
        <v/>
      </c>
    </row>
    <row r="58">
      <c r="A58">
        <f>IF(listing_areas!A17="","",listing_areas!A17)</f>
        <v/>
      </c>
      <c r="B58">
        <f>IF(listing_areas!B17="","",listing_areas!B17)</f>
        <v/>
      </c>
      <c r="C58" s="7">
        <f>IF(listing_areas!C17="","",listing_areas!C17)</f>
        <v/>
      </c>
      <c r="D58" s="7">
        <f>IF(listing_areas!D17="","",listing_areas!D17)</f>
        <v/>
      </c>
      <c r="E58" s="7">
        <f>IF(listing_areas!E17="","",listing_areas!E17)</f>
        <v/>
      </c>
      <c r="F58" s="9">
        <f>IF(listing_areas!F17="","",listing_areas!F17)</f>
        <v/>
      </c>
      <c r="G58" s="13">
        <f>IF(listing_areas!G17="","",listing_areas!G17)</f>
        <v/>
      </c>
      <c r="H58" s="13">
        <f>IF(listing_areas!H17="","",listing_areas!H17)</f>
        <v/>
      </c>
      <c r="I58">
        <f>IF(listing_areas!I17="","",listing_areas!I17)</f>
        <v/>
      </c>
      <c r="U58">
        <f>IF(listing_areas!C55&lt;&gt;"",listing_areas!C55,NA())</f>
        <v/>
      </c>
      <c r="V58">
        <f>IF(listing_areas!C55&lt;&gt;"",listing_areas!D55,NA())</f>
        <v/>
      </c>
    </row>
    <row r="59">
      <c r="A59">
        <f>IF(listing_areas!A18="","",listing_areas!A18)</f>
        <v/>
      </c>
      <c r="B59">
        <f>IF(listing_areas!B18="","",listing_areas!B18)</f>
        <v/>
      </c>
      <c r="C59" s="7">
        <f>IF(listing_areas!C18="","",listing_areas!C18)</f>
        <v/>
      </c>
      <c r="D59" s="7">
        <f>IF(listing_areas!D18="","",listing_areas!D18)</f>
        <v/>
      </c>
      <c r="E59" s="7">
        <f>IF(listing_areas!E18="","",listing_areas!E18)</f>
        <v/>
      </c>
      <c r="F59" s="9">
        <f>IF(listing_areas!F18="","",listing_areas!F18)</f>
        <v/>
      </c>
      <c r="G59" s="13">
        <f>IF(listing_areas!G18="","",listing_areas!G18)</f>
        <v/>
      </c>
      <c r="H59" s="13">
        <f>IF(listing_areas!H18="","",listing_areas!H18)</f>
        <v/>
      </c>
      <c r="I59">
        <f>IF(listing_areas!I18="","",listing_areas!I18)</f>
        <v/>
      </c>
      <c r="U59">
        <f>IF(listing_areas!C56&lt;&gt;"",listing_areas!C56,NA())</f>
        <v/>
      </c>
      <c r="V59">
        <f>IF(listing_areas!C56&lt;&gt;"",listing_areas!D56,NA())</f>
        <v/>
      </c>
    </row>
    <row r="60">
      <c r="A60">
        <f>IF(listing_areas!A19="","",listing_areas!A19)</f>
        <v/>
      </c>
      <c r="B60">
        <f>IF(listing_areas!B19="","",listing_areas!B19)</f>
        <v/>
      </c>
      <c r="C60" s="7">
        <f>IF(listing_areas!C19="","",listing_areas!C19)</f>
        <v/>
      </c>
      <c r="D60" s="7">
        <f>IF(listing_areas!D19="","",listing_areas!D19)</f>
        <v/>
      </c>
      <c r="E60" s="7">
        <f>IF(listing_areas!E19="","",listing_areas!E19)</f>
        <v/>
      </c>
      <c r="F60" s="9">
        <f>IF(listing_areas!F19="","",listing_areas!F19)</f>
        <v/>
      </c>
      <c r="G60" s="13">
        <f>IF(listing_areas!G19="","",listing_areas!G19)</f>
        <v/>
      </c>
      <c r="H60" s="13">
        <f>IF(listing_areas!H19="","",listing_areas!H19)</f>
        <v/>
      </c>
      <c r="I60">
        <f>IF(listing_areas!I19="","",listing_areas!I19)</f>
        <v/>
      </c>
      <c r="U60">
        <f>IF(listing_areas!C57&lt;&gt;"",listing_areas!C57,NA())</f>
        <v/>
      </c>
      <c r="V60">
        <f>IF(listing_areas!C57&lt;&gt;"",listing_areas!D57,NA())</f>
        <v/>
      </c>
    </row>
    <row r="61">
      <c r="A61">
        <f>IF(listing_areas!A20="","",listing_areas!A20)</f>
        <v/>
      </c>
      <c r="B61">
        <f>IF(listing_areas!B20="","",listing_areas!B20)</f>
        <v/>
      </c>
      <c r="C61" s="7">
        <f>IF(listing_areas!C20="","",listing_areas!C20)</f>
        <v/>
      </c>
      <c r="D61" s="7">
        <f>IF(listing_areas!D20="","",listing_areas!D20)</f>
        <v/>
      </c>
      <c r="E61" s="7">
        <f>IF(listing_areas!E20="","",listing_areas!E20)</f>
        <v/>
      </c>
      <c r="F61" s="9">
        <f>IF(listing_areas!F20="","",listing_areas!F20)</f>
        <v/>
      </c>
      <c r="G61" s="13">
        <f>IF(listing_areas!G20="","",listing_areas!G20)</f>
        <v/>
      </c>
      <c r="H61" s="13">
        <f>IF(listing_areas!H20="","",listing_areas!H20)</f>
        <v/>
      </c>
      <c r="I61">
        <f>IF(listing_areas!I20="","",listing_areas!I20)</f>
        <v/>
      </c>
      <c r="U61">
        <f>IF(listing_areas!C58&lt;&gt;"",listing_areas!C58,NA())</f>
        <v/>
      </c>
      <c r="V61">
        <f>IF(listing_areas!C58&lt;&gt;"",listing_areas!D58,NA())</f>
        <v/>
      </c>
    </row>
    <row r="62">
      <c r="A62">
        <f>IF(listing_areas!A21="","",listing_areas!A21)</f>
        <v/>
      </c>
      <c r="B62">
        <f>IF(listing_areas!B21="","",listing_areas!B21)</f>
        <v/>
      </c>
      <c r="C62" s="7">
        <f>IF(listing_areas!C21="","",listing_areas!C21)</f>
        <v/>
      </c>
      <c r="D62" s="7">
        <f>IF(listing_areas!D21="","",listing_areas!D21)</f>
        <v/>
      </c>
      <c r="E62" s="7">
        <f>IF(listing_areas!E21="","",listing_areas!E21)</f>
        <v/>
      </c>
      <c r="F62" s="9">
        <f>IF(listing_areas!F21="","",listing_areas!F21)</f>
        <v/>
      </c>
      <c r="G62" s="13">
        <f>IF(listing_areas!G21="","",listing_areas!G21)</f>
        <v/>
      </c>
      <c r="H62" s="13">
        <f>IF(listing_areas!H21="","",listing_areas!H21)</f>
        <v/>
      </c>
      <c r="I62">
        <f>IF(listing_areas!I21="","",listing_areas!I21)</f>
        <v/>
      </c>
      <c r="U62">
        <f>IF(listing_areas!C59&lt;&gt;"",listing_areas!C59,NA())</f>
        <v/>
      </c>
      <c r="V62">
        <f>IF(listing_areas!C59&lt;&gt;"",listing_areas!D59,NA())</f>
        <v/>
      </c>
    </row>
    <row r="63">
      <c r="A63">
        <f>IF(listing_areas!A22="","",listing_areas!A22)</f>
        <v/>
      </c>
      <c r="B63">
        <f>IF(listing_areas!B22="","",listing_areas!B22)</f>
        <v/>
      </c>
      <c r="C63" s="7">
        <f>IF(listing_areas!C22="","",listing_areas!C22)</f>
        <v/>
      </c>
      <c r="D63" s="7">
        <f>IF(listing_areas!D22="","",listing_areas!D22)</f>
        <v/>
      </c>
      <c r="E63" s="7">
        <f>IF(listing_areas!E22="","",listing_areas!E22)</f>
        <v/>
      </c>
      <c r="F63" s="9">
        <f>IF(listing_areas!F22="","",listing_areas!F22)</f>
        <v/>
      </c>
      <c r="G63" s="13">
        <f>IF(listing_areas!G22="","",listing_areas!G22)</f>
        <v/>
      </c>
      <c r="H63" s="13">
        <f>IF(listing_areas!H22="","",listing_areas!H22)</f>
        <v/>
      </c>
      <c r="I63">
        <f>IF(listing_areas!I22="","",listing_areas!I22)</f>
        <v/>
      </c>
      <c r="U63">
        <f>IF(listing_areas!C60&lt;&gt;"",listing_areas!C60,NA())</f>
        <v/>
      </c>
      <c r="V63">
        <f>IF(listing_areas!C60&lt;&gt;"",listing_areas!D60,NA())</f>
        <v/>
      </c>
    </row>
    <row r="64">
      <c r="A64">
        <f>IF(listing_areas!A23="","",listing_areas!A23)</f>
        <v/>
      </c>
      <c r="B64">
        <f>IF(listing_areas!B23="","",listing_areas!B23)</f>
        <v/>
      </c>
      <c r="C64" s="7">
        <f>IF(listing_areas!C23="","",listing_areas!C23)</f>
        <v/>
      </c>
      <c r="D64" s="7">
        <f>IF(listing_areas!D23="","",listing_areas!D23)</f>
        <v/>
      </c>
      <c r="E64" s="7">
        <f>IF(listing_areas!E23="","",listing_areas!E23)</f>
        <v/>
      </c>
      <c r="F64" s="9">
        <f>IF(listing_areas!F23="","",listing_areas!F23)</f>
        <v/>
      </c>
      <c r="G64" s="13">
        <f>IF(listing_areas!G23="","",listing_areas!G23)</f>
        <v/>
      </c>
      <c r="H64" s="13">
        <f>IF(listing_areas!H23="","",listing_areas!H23)</f>
        <v/>
      </c>
      <c r="I64">
        <f>IF(listing_areas!I23="","",listing_areas!I23)</f>
        <v/>
      </c>
      <c r="U64">
        <f>IF(listing_areas!C61&lt;&gt;"",listing_areas!C61,NA())</f>
        <v/>
      </c>
      <c r="V64">
        <f>IF(listing_areas!C61&lt;&gt;"",listing_areas!D61,NA())</f>
        <v/>
      </c>
    </row>
    <row r="65">
      <c r="A65">
        <f>IF(listing_areas!A24="","",listing_areas!A24)</f>
        <v/>
      </c>
      <c r="B65">
        <f>IF(listing_areas!B24="","",listing_areas!B24)</f>
        <v/>
      </c>
      <c r="C65" s="7">
        <f>IF(listing_areas!C24="","",listing_areas!C24)</f>
        <v/>
      </c>
      <c r="D65" s="7">
        <f>IF(listing_areas!D24="","",listing_areas!D24)</f>
        <v/>
      </c>
      <c r="E65" s="7">
        <f>IF(listing_areas!E24="","",listing_areas!E24)</f>
        <v/>
      </c>
      <c r="F65" s="9">
        <f>IF(listing_areas!F24="","",listing_areas!F24)</f>
        <v/>
      </c>
      <c r="G65" s="13">
        <f>IF(listing_areas!G24="","",listing_areas!G24)</f>
        <v/>
      </c>
      <c r="H65" s="13">
        <f>IF(listing_areas!H24="","",listing_areas!H24)</f>
        <v/>
      </c>
      <c r="I65">
        <f>IF(listing_areas!I24="","",listing_areas!I24)</f>
        <v/>
      </c>
      <c r="U65">
        <f>IF(listing_areas!C62&lt;&gt;"",listing_areas!C62,NA())</f>
        <v/>
      </c>
      <c r="V65">
        <f>IF(listing_areas!C62&lt;&gt;"",listing_areas!D62,NA())</f>
        <v/>
      </c>
    </row>
    <row r="66">
      <c r="A66">
        <f>IF(listing_areas!A25="","",listing_areas!A25)</f>
        <v/>
      </c>
      <c r="B66">
        <f>IF(listing_areas!B25="","",listing_areas!B25)</f>
        <v/>
      </c>
      <c r="C66" s="7">
        <f>IF(listing_areas!C25="","",listing_areas!C25)</f>
        <v/>
      </c>
      <c r="D66" s="7">
        <f>IF(listing_areas!D25="","",listing_areas!D25)</f>
        <v/>
      </c>
      <c r="E66" s="7">
        <f>IF(listing_areas!E25="","",listing_areas!E25)</f>
        <v/>
      </c>
      <c r="F66" s="9">
        <f>IF(listing_areas!F25="","",listing_areas!F25)</f>
        <v/>
      </c>
      <c r="G66" s="13">
        <f>IF(listing_areas!G25="","",listing_areas!G25)</f>
        <v/>
      </c>
      <c r="H66" s="13">
        <f>IF(listing_areas!H25="","",listing_areas!H25)</f>
        <v/>
      </c>
      <c r="I66">
        <f>IF(listing_areas!I25="","",listing_areas!I25)</f>
        <v/>
      </c>
      <c r="U66">
        <f>IF(listing_areas!C63&lt;&gt;"",listing_areas!C63,NA())</f>
        <v/>
      </c>
      <c r="V66">
        <f>IF(listing_areas!C63&lt;&gt;"",listing_areas!D63,NA())</f>
        <v/>
      </c>
    </row>
    <row r="67">
      <c r="A67">
        <f>IF(listing_areas!A26="","",listing_areas!A26)</f>
        <v/>
      </c>
      <c r="B67">
        <f>IF(listing_areas!B26="","",listing_areas!B26)</f>
        <v/>
      </c>
      <c r="C67" s="7">
        <f>IF(listing_areas!C26="","",listing_areas!C26)</f>
        <v/>
      </c>
      <c r="D67" s="7">
        <f>IF(listing_areas!D26="","",listing_areas!D26)</f>
        <v/>
      </c>
      <c r="E67" s="7">
        <f>IF(listing_areas!E26="","",listing_areas!E26)</f>
        <v/>
      </c>
      <c r="F67" s="9">
        <f>IF(listing_areas!F26="","",listing_areas!F26)</f>
        <v/>
      </c>
      <c r="G67" s="13">
        <f>IF(listing_areas!G26="","",listing_areas!G26)</f>
        <v/>
      </c>
      <c r="H67" s="13">
        <f>IF(listing_areas!H26="","",listing_areas!H26)</f>
        <v/>
      </c>
      <c r="I67">
        <f>IF(listing_areas!I26="","",listing_areas!I26)</f>
        <v/>
      </c>
      <c r="U67">
        <f>IF(listing_areas!C64&lt;&gt;"",listing_areas!C64,NA())</f>
        <v/>
      </c>
      <c r="V67">
        <f>IF(listing_areas!C64&lt;&gt;"",listing_areas!D64,NA())</f>
        <v/>
      </c>
    </row>
    <row r="68">
      <c r="A68">
        <f>IF(listing_areas!A27="","",listing_areas!A27)</f>
        <v/>
      </c>
      <c r="B68">
        <f>IF(listing_areas!B27="","",listing_areas!B27)</f>
        <v/>
      </c>
      <c r="C68" s="7">
        <f>IF(listing_areas!C27="","",listing_areas!C27)</f>
        <v/>
      </c>
      <c r="D68" s="7">
        <f>IF(listing_areas!D27="","",listing_areas!D27)</f>
        <v/>
      </c>
      <c r="E68" s="7">
        <f>IF(listing_areas!E27="","",listing_areas!E27)</f>
        <v/>
      </c>
      <c r="F68" s="9">
        <f>IF(listing_areas!F27="","",listing_areas!F27)</f>
        <v/>
      </c>
      <c r="G68" s="13">
        <f>IF(listing_areas!G27="","",listing_areas!G27)</f>
        <v/>
      </c>
      <c r="H68" s="13">
        <f>IF(listing_areas!H27="","",listing_areas!H27)</f>
        <v/>
      </c>
      <c r="I68">
        <f>IF(listing_areas!I27="","",listing_areas!I27)</f>
        <v/>
      </c>
      <c r="U68">
        <f>IF(listing_areas!C65&lt;&gt;"",listing_areas!C65,NA())</f>
        <v/>
      </c>
      <c r="V68">
        <f>IF(listing_areas!C65&lt;&gt;"",listing_areas!D65,NA())</f>
        <v/>
      </c>
    </row>
    <row r="69">
      <c r="A69">
        <f>IF(listing_areas!A28="","",listing_areas!A28)</f>
        <v/>
      </c>
      <c r="B69">
        <f>IF(listing_areas!B28="","",listing_areas!B28)</f>
        <v/>
      </c>
      <c r="C69" s="7">
        <f>IF(listing_areas!C28="","",listing_areas!C28)</f>
        <v/>
      </c>
      <c r="D69" s="7">
        <f>IF(listing_areas!D28="","",listing_areas!D28)</f>
        <v/>
      </c>
      <c r="E69" s="7">
        <f>IF(listing_areas!E28="","",listing_areas!E28)</f>
        <v/>
      </c>
      <c r="F69" s="9">
        <f>IF(listing_areas!F28="","",listing_areas!F28)</f>
        <v/>
      </c>
      <c r="G69" s="13">
        <f>IF(listing_areas!G28="","",listing_areas!G28)</f>
        <v/>
      </c>
      <c r="H69" s="13">
        <f>IF(listing_areas!H28="","",listing_areas!H28)</f>
        <v/>
      </c>
      <c r="I69">
        <f>IF(listing_areas!I28="","",listing_areas!I28)</f>
        <v/>
      </c>
      <c r="U69">
        <f>IF(listing_areas!C66&lt;&gt;"",listing_areas!C66,NA())</f>
        <v/>
      </c>
      <c r="V69">
        <f>IF(listing_areas!C66&lt;&gt;"",listing_areas!D66,NA())</f>
        <v/>
      </c>
    </row>
    <row r="70">
      <c r="A70">
        <f>IF(listing_areas!A29="","",listing_areas!A29)</f>
        <v/>
      </c>
      <c r="B70">
        <f>IF(listing_areas!B29="","",listing_areas!B29)</f>
        <v/>
      </c>
      <c r="C70" s="7">
        <f>IF(listing_areas!C29="","",listing_areas!C29)</f>
        <v/>
      </c>
      <c r="D70" s="7">
        <f>IF(listing_areas!D29="","",listing_areas!D29)</f>
        <v/>
      </c>
      <c r="E70" s="7">
        <f>IF(listing_areas!E29="","",listing_areas!E29)</f>
        <v/>
      </c>
      <c r="F70" s="9">
        <f>IF(listing_areas!F29="","",listing_areas!F29)</f>
        <v/>
      </c>
      <c r="G70" s="13">
        <f>IF(listing_areas!G29="","",listing_areas!G29)</f>
        <v/>
      </c>
      <c r="H70" s="13">
        <f>IF(listing_areas!H29="","",listing_areas!H29)</f>
        <v/>
      </c>
      <c r="I70">
        <f>IF(listing_areas!I29="","",listing_areas!I29)</f>
        <v/>
      </c>
      <c r="U70">
        <f>IF(listing_areas!C67&lt;&gt;"",listing_areas!C67,NA())</f>
        <v/>
      </c>
      <c r="V70">
        <f>IF(listing_areas!C67&lt;&gt;"",listing_areas!D67,NA())</f>
        <v/>
      </c>
    </row>
    <row r="71">
      <c r="A71">
        <f>IF(listing_areas!A30="","",listing_areas!A30)</f>
        <v/>
      </c>
      <c r="B71">
        <f>IF(listing_areas!B30="","",listing_areas!B30)</f>
        <v/>
      </c>
      <c r="C71" s="7">
        <f>IF(listing_areas!C30="","",listing_areas!C30)</f>
        <v/>
      </c>
      <c r="D71" s="7">
        <f>IF(listing_areas!D30="","",listing_areas!D30)</f>
        <v/>
      </c>
      <c r="E71" s="7">
        <f>IF(listing_areas!E30="","",listing_areas!E30)</f>
        <v/>
      </c>
      <c r="F71" s="9">
        <f>IF(listing_areas!F30="","",listing_areas!F30)</f>
        <v/>
      </c>
      <c r="G71" s="13">
        <f>IF(listing_areas!G30="","",listing_areas!G30)</f>
        <v/>
      </c>
      <c r="H71" s="13">
        <f>IF(listing_areas!H30="","",listing_areas!H30)</f>
        <v/>
      </c>
      <c r="I71">
        <f>IF(listing_areas!I30="","",listing_areas!I30)</f>
        <v/>
      </c>
      <c r="U71">
        <f>IF(listing_areas!C68&lt;&gt;"",listing_areas!C68,NA())</f>
        <v/>
      </c>
      <c r="V71">
        <f>IF(listing_areas!C68&lt;&gt;"",listing_areas!D68,NA())</f>
        <v/>
      </c>
    </row>
    <row r="72">
      <c r="A72">
        <f>IF(listing_areas!A31="","",listing_areas!A31)</f>
        <v/>
      </c>
      <c r="B72">
        <f>IF(listing_areas!B31="","",listing_areas!B31)</f>
        <v/>
      </c>
      <c r="C72" s="7">
        <f>IF(listing_areas!C31="","",listing_areas!C31)</f>
        <v/>
      </c>
      <c r="D72" s="7">
        <f>IF(listing_areas!D31="","",listing_areas!D31)</f>
        <v/>
      </c>
      <c r="E72" s="7">
        <f>IF(listing_areas!E31="","",listing_areas!E31)</f>
        <v/>
      </c>
      <c r="F72" s="9">
        <f>IF(listing_areas!F31="","",listing_areas!F31)</f>
        <v/>
      </c>
      <c r="G72" s="13">
        <f>IF(listing_areas!G31="","",listing_areas!G31)</f>
        <v/>
      </c>
      <c r="H72" s="13">
        <f>IF(listing_areas!H31="","",listing_areas!H31)</f>
        <v/>
      </c>
      <c r="I72">
        <f>IF(listing_areas!I31="","",listing_areas!I31)</f>
        <v/>
      </c>
      <c r="U72">
        <f>IF(listing_areas!C69&lt;&gt;"",listing_areas!C69,NA())</f>
        <v/>
      </c>
      <c r="V72">
        <f>IF(listing_areas!C69&lt;&gt;"",listing_areas!D69,NA())</f>
        <v/>
      </c>
    </row>
    <row r="73">
      <c r="A73">
        <f>IF(listing_areas!A32="","",listing_areas!A32)</f>
        <v/>
      </c>
      <c r="B73">
        <f>IF(listing_areas!B32="","",listing_areas!B32)</f>
        <v/>
      </c>
      <c r="C73" s="7">
        <f>IF(listing_areas!C32="","",listing_areas!C32)</f>
        <v/>
      </c>
      <c r="D73" s="7">
        <f>IF(listing_areas!D32="","",listing_areas!D32)</f>
        <v/>
      </c>
      <c r="E73" s="7">
        <f>IF(listing_areas!E32="","",listing_areas!E32)</f>
        <v/>
      </c>
      <c r="F73" s="9">
        <f>IF(listing_areas!F32="","",listing_areas!F32)</f>
        <v/>
      </c>
      <c r="G73" s="13">
        <f>IF(listing_areas!G32="","",listing_areas!G32)</f>
        <v/>
      </c>
      <c r="H73" s="13">
        <f>IF(listing_areas!H32="","",listing_areas!H32)</f>
        <v/>
      </c>
      <c r="I73">
        <f>IF(listing_areas!I32="","",listing_areas!I32)</f>
        <v/>
      </c>
      <c r="U73">
        <f>IF(listing_areas!C70&lt;&gt;"",listing_areas!C70,NA())</f>
        <v/>
      </c>
      <c r="V73">
        <f>IF(listing_areas!C70&lt;&gt;"",listing_areas!D70,NA())</f>
        <v/>
      </c>
    </row>
    <row r="74">
      <c r="A74">
        <f>IF(listing_areas!A33="","",listing_areas!A33)</f>
        <v/>
      </c>
      <c r="B74">
        <f>IF(listing_areas!B33="","",listing_areas!B33)</f>
        <v/>
      </c>
      <c r="C74" s="7">
        <f>IF(listing_areas!C33="","",listing_areas!C33)</f>
        <v/>
      </c>
      <c r="D74" s="7">
        <f>IF(listing_areas!D33="","",listing_areas!D33)</f>
        <v/>
      </c>
      <c r="E74" s="7">
        <f>IF(listing_areas!E33="","",listing_areas!E33)</f>
        <v/>
      </c>
      <c r="F74" s="9">
        <f>IF(listing_areas!F33="","",listing_areas!F33)</f>
        <v/>
      </c>
      <c r="G74" s="13">
        <f>IF(listing_areas!G33="","",listing_areas!G33)</f>
        <v/>
      </c>
      <c r="H74" s="13">
        <f>IF(listing_areas!H33="","",listing_areas!H33)</f>
        <v/>
      </c>
      <c r="I74">
        <f>IF(listing_areas!I33="","",listing_areas!I33)</f>
        <v/>
      </c>
      <c r="U74">
        <f>IF(listing_areas!C71&lt;&gt;"",listing_areas!C71,NA())</f>
        <v/>
      </c>
      <c r="V74">
        <f>IF(listing_areas!C71&lt;&gt;"",listing_areas!D71,NA())</f>
        <v/>
      </c>
    </row>
    <row r="75">
      <c r="A75">
        <f>IF(listing_areas!A34="","",listing_areas!A34)</f>
        <v/>
      </c>
      <c r="B75">
        <f>IF(listing_areas!B34="","",listing_areas!B34)</f>
        <v/>
      </c>
      <c r="C75" s="7">
        <f>IF(listing_areas!C34="","",listing_areas!C34)</f>
        <v/>
      </c>
      <c r="D75" s="7">
        <f>IF(listing_areas!D34="","",listing_areas!D34)</f>
        <v/>
      </c>
      <c r="E75" s="7">
        <f>IF(listing_areas!E34="","",listing_areas!E34)</f>
        <v/>
      </c>
      <c r="F75" s="9">
        <f>IF(listing_areas!F34="","",listing_areas!F34)</f>
        <v/>
      </c>
      <c r="G75" s="13">
        <f>IF(listing_areas!G34="","",listing_areas!G34)</f>
        <v/>
      </c>
      <c r="H75" s="13">
        <f>IF(listing_areas!H34="","",listing_areas!H34)</f>
        <v/>
      </c>
      <c r="I75">
        <f>IF(listing_areas!I34="","",listing_areas!I34)</f>
        <v/>
      </c>
      <c r="U75">
        <f>IF(listing_areas!C72&lt;&gt;"",listing_areas!C72,NA())</f>
        <v/>
      </c>
      <c r="V75">
        <f>IF(listing_areas!C72&lt;&gt;"",listing_areas!D72,NA())</f>
        <v/>
      </c>
    </row>
    <row r="76">
      <c r="A76">
        <f>IF(listing_areas!A35="","",listing_areas!A35)</f>
        <v/>
      </c>
      <c r="B76">
        <f>IF(listing_areas!B35="","",listing_areas!B35)</f>
        <v/>
      </c>
      <c r="C76" s="7">
        <f>IF(listing_areas!C35="","",listing_areas!C35)</f>
        <v/>
      </c>
      <c r="D76" s="7">
        <f>IF(listing_areas!D35="","",listing_areas!D35)</f>
        <v/>
      </c>
      <c r="E76" s="7">
        <f>IF(listing_areas!E35="","",listing_areas!E35)</f>
        <v/>
      </c>
      <c r="F76" s="9">
        <f>IF(listing_areas!F35="","",listing_areas!F35)</f>
        <v/>
      </c>
      <c r="G76" s="13">
        <f>IF(listing_areas!G35="","",listing_areas!G35)</f>
        <v/>
      </c>
      <c r="H76" s="13">
        <f>IF(listing_areas!H35="","",listing_areas!H35)</f>
        <v/>
      </c>
      <c r="I76">
        <f>IF(listing_areas!I35="","",listing_areas!I35)</f>
        <v/>
      </c>
      <c r="U76">
        <f>IF(listing_areas!C73&lt;&gt;"",listing_areas!C73,NA())</f>
        <v/>
      </c>
      <c r="V76">
        <f>IF(listing_areas!C73&lt;&gt;"",listing_areas!D73,NA())</f>
        <v/>
      </c>
    </row>
    <row r="77">
      <c r="A77">
        <f>IF(listing_areas!A36="","",listing_areas!A36)</f>
        <v/>
      </c>
      <c r="B77">
        <f>IF(listing_areas!B36="","",listing_areas!B36)</f>
        <v/>
      </c>
      <c r="C77" s="7">
        <f>IF(listing_areas!C36="","",listing_areas!C36)</f>
        <v/>
      </c>
      <c r="D77" s="7">
        <f>IF(listing_areas!D36="","",listing_areas!D36)</f>
        <v/>
      </c>
      <c r="E77" s="7">
        <f>IF(listing_areas!E36="","",listing_areas!E36)</f>
        <v/>
      </c>
      <c r="F77" s="9">
        <f>IF(listing_areas!F36="","",listing_areas!F36)</f>
        <v/>
      </c>
      <c r="G77" s="13">
        <f>IF(listing_areas!G36="","",listing_areas!G36)</f>
        <v/>
      </c>
      <c r="H77" s="13">
        <f>IF(listing_areas!H36="","",listing_areas!H36)</f>
        <v/>
      </c>
      <c r="I77">
        <f>IF(listing_areas!I36="","",listing_areas!I36)</f>
        <v/>
      </c>
      <c r="U77">
        <f>IF(listing_areas!C74&lt;&gt;"",listing_areas!C74,NA())</f>
        <v/>
      </c>
      <c r="V77">
        <f>IF(listing_areas!C74&lt;&gt;"",listing_areas!D74,NA())</f>
        <v/>
      </c>
    </row>
    <row r="78">
      <c r="A78">
        <f>IF(listing_areas!A37="","",listing_areas!A37)</f>
        <v/>
      </c>
      <c r="B78">
        <f>IF(listing_areas!B37="","",listing_areas!B37)</f>
        <v/>
      </c>
      <c r="C78" s="7">
        <f>IF(listing_areas!C37="","",listing_areas!C37)</f>
        <v/>
      </c>
      <c r="D78" s="7">
        <f>IF(listing_areas!D37="","",listing_areas!D37)</f>
        <v/>
      </c>
      <c r="E78" s="7">
        <f>IF(listing_areas!E37="","",listing_areas!E37)</f>
        <v/>
      </c>
      <c r="F78" s="9">
        <f>IF(listing_areas!F37="","",listing_areas!F37)</f>
        <v/>
      </c>
      <c r="G78" s="13">
        <f>IF(listing_areas!G37="","",listing_areas!G37)</f>
        <v/>
      </c>
      <c r="H78" s="13">
        <f>IF(listing_areas!H37="","",listing_areas!H37)</f>
        <v/>
      </c>
      <c r="I78">
        <f>IF(listing_areas!I37="","",listing_areas!I37)</f>
        <v/>
      </c>
      <c r="U78">
        <f>IF(listing_areas!C75&lt;&gt;"",listing_areas!C75,NA())</f>
        <v/>
      </c>
      <c r="V78">
        <f>IF(listing_areas!C75&lt;&gt;"",listing_areas!D75,NA())</f>
        <v/>
      </c>
    </row>
    <row r="79">
      <c r="A79">
        <f>IF(listing_areas!A38="","",listing_areas!A38)</f>
        <v/>
      </c>
      <c r="B79">
        <f>IF(listing_areas!B38="","",listing_areas!B38)</f>
        <v/>
      </c>
      <c r="C79" s="7">
        <f>IF(listing_areas!C38="","",listing_areas!C38)</f>
        <v/>
      </c>
      <c r="D79" s="7">
        <f>IF(listing_areas!D38="","",listing_areas!D38)</f>
        <v/>
      </c>
      <c r="E79" s="7">
        <f>IF(listing_areas!E38="","",listing_areas!E38)</f>
        <v/>
      </c>
      <c r="F79" s="9">
        <f>IF(listing_areas!F38="","",listing_areas!F38)</f>
        <v/>
      </c>
      <c r="G79" s="13">
        <f>IF(listing_areas!G38="","",listing_areas!G38)</f>
        <v/>
      </c>
      <c r="H79" s="13">
        <f>IF(listing_areas!H38="","",listing_areas!H38)</f>
        <v/>
      </c>
      <c r="I79">
        <f>IF(listing_areas!I38="","",listing_areas!I38)</f>
        <v/>
      </c>
      <c r="U79">
        <f>IF(listing_areas!C76&lt;&gt;"",listing_areas!C76,NA())</f>
        <v/>
      </c>
      <c r="V79">
        <f>IF(listing_areas!C76&lt;&gt;"",listing_areas!D76,NA())</f>
        <v/>
      </c>
    </row>
    <row r="80">
      <c r="A80">
        <f>IF(listing_areas!A39="","",listing_areas!A39)</f>
        <v/>
      </c>
      <c r="B80">
        <f>IF(listing_areas!B39="","",listing_areas!B39)</f>
        <v/>
      </c>
      <c r="C80" s="7">
        <f>IF(listing_areas!C39="","",listing_areas!C39)</f>
        <v/>
      </c>
      <c r="D80" s="7">
        <f>IF(listing_areas!D39="","",listing_areas!D39)</f>
        <v/>
      </c>
      <c r="E80" s="7">
        <f>IF(listing_areas!E39="","",listing_areas!E39)</f>
        <v/>
      </c>
      <c r="F80" s="9">
        <f>IF(listing_areas!F39="","",listing_areas!F39)</f>
        <v/>
      </c>
      <c r="G80" s="13">
        <f>IF(listing_areas!G39="","",listing_areas!G39)</f>
        <v/>
      </c>
      <c r="H80" s="13">
        <f>IF(listing_areas!H39="","",listing_areas!H39)</f>
        <v/>
      </c>
      <c r="I80">
        <f>IF(listing_areas!I39="","",listing_areas!I39)</f>
        <v/>
      </c>
      <c r="U80">
        <f>IF(listing_areas!C77&lt;&gt;"",listing_areas!C77,NA())</f>
        <v/>
      </c>
      <c r="V80">
        <f>IF(listing_areas!C77&lt;&gt;"",listing_areas!D77,NA())</f>
        <v/>
      </c>
    </row>
    <row r="81">
      <c r="A81">
        <f>IF(listing_areas!A40="","",listing_areas!A40)</f>
        <v/>
      </c>
      <c r="B81">
        <f>IF(listing_areas!B40="","",listing_areas!B40)</f>
        <v/>
      </c>
      <c r="C81" s="7">
        <f>IF(listing_areas!C40="","",listing_areas!C40)</f>
        <v/>
      </c>
      <c r="D81" s="7">
        <f>IF(listing_areas!D40="","",listing_areas!D40)</f>
        <v/>
      </c>
      <c r="E81" s="7">
        <f>IF(listing_areas!E40="","",listing_areas!E40)</f>
        <v/>
      </c>
      <c r="F81" s="9">
        <f>IF(listing_areas!F40="","",listing_areas!F40)</f>
        <v/>
      </c>
      <c r="G81" s="13">
        <f>IF(listing_areas!G40="","",listing_areas!G40)</f>
        <v/>
      </c>
      <c r="H81" s="13">
        <f>IF(listing_areas!H40="","",listing_areas!H40)</f>
        <v/>
      </c>
      <c r="I81">
        <f>IF(listing_areas!I40="","",listing_areas!I40)</f>
        <v/>
      </c>
      <c r="U81">
        <f>IF(listing_areas!C78&lt;&gt;"",listing_areas!C78,NA())</f>
        <v/>
      </c>
      <c r="V81">
        <f>IF(listing_areas!C78&lt;&gt;"",listing_areas!D78,NA())</f>
        <v/>
      </c>
    </row>
    <row r="82">
      <c r="A82">
        <f>IF(listing_areas!A41="","",listing_areas!A41)</f>
        <v/>
      </c>
      <c r="B82">
        <f>IF(listing_areas!B41="","",listing_areas!B41)</f>
        <v/>
      </c>
      <c r="C82" s="7">
        <f>IF(listing_areas!C41="","",listing_areas!C41)</f>
        <v/>
      </c>
      <c r="D82" s="7">
        <f>IF(listing_areas!D41="","",listing_areas!D41)</f>
        <v/>
      </c>
      <c r="E82" s="7">
        <f>IF(listing_areas!E41="","",listing_areas!E41)</f>
        <v/>
      </c>
      <c r="F82" s="9">
        <f>IF(listing_areas!F41="","",listing_areas!F41)</f>
        <v/>
      </c>
      <c r="G82" s="13">
        <f>IF(listing_areas!G41="","",listing_areas!G41)</f>
        <v/>
      </c>
      <c r="H82" s="13">
        <f>IF(listing_areas!H41="","",listing_areas!H41)</f>
        <v/>
      </c>
      <c r="I82">
        <f>IF(listing_areas!I41="","",listing_areas!I41)</f>
        <v/>
      </c>
      <c r="U82">
        <f>IF(listing_areas!C79&lt;&gt;"",listing_areas!C79,NA())</f>
        <v/>
      </c>
      <c r="V82">
        <f>IF(listing_areas!C79&lt;&gt;"",listing_areas!D79,NA())</f>
        <v/>
      </c>
    </row>
    <row r="83">
      <c r="A83">
        <f>IF(listing_areas!A42="","",listing_areas!A42)</f>
        <v/>
      </c>
      <c r="B83">
        <f>IF(listing_areas!B42="","",listing_areas!B42)</f>
        <v/>
      </c>
      <c r="C83" s="7">
        <f>IF(listing_areas!C42="","",listing_areas!C42)</f>
        <v/>
      </c>
      <c r="D83" s="7">
        <f>IF(listing_areas!D42="","",listing_areas!D42)</f>
        <v/>
      </c>
      <c r="E83" s="7">
        <f>IF(listing_areas!E42="","",listing_areas!E42)</f>
        <v/>
      </c>
      <c r="F83" s="9">
        <f>IF(listing_areas!F42="","",listing_areas!F42)</f>
        <v/>
      </c>
      <c r="G83" s="13">
        <f>IF(listing_areas!G42="","",listing_areas!G42)</f>
        <v/>
      </c>
      <c r="H83" s="13">
        <f>IF(listing_areas!H42="","",listing_areas!H42)</f>
        <v/>
      </c>
      <c r="I83">
        <f>IF(listing_areas!I42="","",listing_areas!I42)</f>
        <v/>
      </c>
      <c r="U83">
        <f>IF(listing_areas!C80&lt;&gt;"",listing_areas!C80,NA())</f>
        <v/>
      </c>
      <c r="V83">
        <f>IF(listing_areas!C80&lt;&gt;"",listing_areas!D80,NA())</f>
        <v/>
      </c>
    </row>
    <row r="84">
      <c r="A84">
        <f>IF(listing_areas!A43="","",listing_areas!A43)</f>
        <v/>
      </c>
      <c r="B84">
        <f>IF(listing_areas!B43="","",listing_areas!B43)</f>
        <v/>
      </c>
      <c r="C84" s="7">
        <f>IF(listing_areas!C43="","",listing_areas!C43)</f>
        <v/>
      </c>
      <c r="D84" s="7">
        <f>IF(listing_areas!D43="","",listing_areas!D43)</f>
        <v/>
      </c>
      <c r="E84" s="7">
        <f>IF(listing_areas!E43="","",listing_areas!E43)</f>
        <v/>
      </c>
      <c r="F84" s="9">
        <f>IF(listing_areas!F43="","",listing_areas!F43)</f>
        <v/>
      </c>
      <c r="G84" s="13">
        <f>IF(listing_areas!G43="","",listing_areas!G43)</f>
        <v/>
      </c>
      <c r="H84" s="13">
        <f>IF(listing_areas!H43="","",listing_areas!H43)</f>
        <v/>
      </c>
      <c r="I84">
        <f>IF(listing_areas!I43="","",listing_areas!I43)</f>
        <v/>
      </c>
      <c r="U84">
        <f>IF(listing_areas!C81&lt;&gt;"",listing_areas!C81,NA())</f>
        <v/>
      </c>
      <c r="V84">
        <f>IF(listing_areas!C81&lt;&gt;"",listing_areas!D81,NA())</f>
        <v/>
      </c>
    </row>
    <row r="85">
      <c r="A85">
        <f>IF(listing_areas!A44="","",listing_areas!A44)</f>
        <v/>
      </c>
      <c r="B85">
        <f>IF(listing_areas!B44="","",listing_areas!B44)</f>
        <v/>
      </c>
      <c r="C85" s="7">
        <f>IF(listing_areas!C44="","",listing_areas!C44)</f>
        <v/>
      </c>
      <c r="D85" s="7">
        <f>IF(listing_areas!D44="","",listing_areas!D44)</f>
        <v/>
      </c>
      <c r="E85" s="7">
        <f>IF(listing_areas!E44="","",listing_areas!E44)</f>
        <v/>
      </c>
      <c r="F85" s="9">
        <f>IF(listing_areas!F44="","",listing_areas!F44)</f>
        <v/>
      </c>
      <c r="G85" s="13">
        <f>IF(listing_areas!G44="","",listing_areas!G44)</f>
        <v/>
      </c>
      <c r="H85" s="13">
        <f>IF(listing_areas!H44="","",listing_areas!H44)</f>
        <v/>
      </c>
      <c r="I85">
        <f>IF(listing_areas!I44="","",listing_areas!I44)</f>
        <v/>
      </c>
      <c r="U85">
        <f>IF(listing_areas!C82&lt;&gt;"",listing_areas!C82,NA())</f>
        <v/>
      </c>
      <c r="V85">
        <f>IF(listing_areas!C82&lt;&gt;"",listing_areas!D82,NA())</f>
        <v/>
      </c>
    </row>
    <row r="86">
      <c r="A86">
        <f>IF(listing_areas!A45="","",listing_areas!A45)</f>
        <v/>
      </c>
      <c r="B86">
        <f>IF(listing_areas!B45="","",listing_areas!B45)</f>
        <v/>
      </c>
      <c r="C86" s="7">
        <f>IF(listing_areas!C45="","",listing_areas!C45)</f>
        <v/>
      </c>
      <c r="D86" s="7">
        <f>IF(listing_areas!D45="","",listing_areas!D45)</f>
        <v/>
      </c>
      <c r="E86" s="7">
        <f>IF(listing_areas!E45="","",listing_areas!E45)</f>
        <v/>
      </c>
      <c r="F86" s="9">
        <f>IF(listing_areas!F45="","",listing_areas!F45)</f>
        <v/>
      </c>
      <c r="G86" s="13">
        <f>IF(listing_areas!G45="","",listing_areas!G45)</f>
        <v/>
      </c>
      <c r="H86" s="13">
        <f>IF(listing_areas!H45="","",listing_areas!H45)</f>
        <v/>
      </c>
      <c r="I86">
        <f>IF(listing_areas!I45="","",listing_areas!I45)</f>
        <v/>
      </c>
      <c r="U86">
        <f>IF(listing_areas!C83&lt;&gt;"",listing_areas!C83,NA())</f>
        <v/>
      </c>
      <c r="V86">
        <f>IF(listing_areas!C83&lt;&gt;"",listing_areas!D83,NA())</f>
        <v/>
      </c>
    </row>
    <row r="87">
      <c r="A87">
        <f>IF(listing_areas!A46="","",listing_areas!A46)</f>
        <v/>
      </c>
      <c r="B87">
        <f>IF(listing_areas!B46="","",listing_areas!B46)</f>
        <v/>
      </c>
      <c r="C87" s="7">
        <f>IF(listing_areas!C46="","",listing_areas!C46)</f>
        <v/>
      </c>
      <c r="D87" s="7">
        <f>IF(listing_areas!D46="","",listing_areas!D46)</f>
        <v/>
      </c>
      <c r="E87" s="7">
        <f>IF(listing_areas!E46="","",listing_areas!E46)</f>
        <v/>
      </c>
      <c r="F87" s="9">
        <f>IF(listing_areas!F46="","",listing_areas!F46)</f>
        <v/>
      </c>
      <c r="G87" s="13">
        <f>IF(listing_areas!G46="","",listing_areas!G46)</f>
        <v/>
      </c>
      <c r="H87" s="13">
        <f>IF(listing_areas!H46="","",listing_areas!H46)</f>
        <v/>
      </c>
      <c r="I87">
        <f>IF(listing_areas!I46="","",listing_areas!I46)</f>
        <v/>
      </c>
      <c r="U87">
        <f>IF(listing_areas!C84&lt;&gt;"",listing_areas!C84,NA())</f>
        <v/>
      </c>
      <c r="V87">
        <f>IF(listing_areas!C84&lt;&gt;"",listing_areas!D84,NA())</f>
        <v/>
      </c>
    </row>
    <row r="88">
      <c r="A88">
        <f>IF(listing_areas!A47="","",listing_areas!A47)</f>
        <v/>
      </c>
      <c r="B88">
        <f>IF(listing_areas!B47="","",listing_areas!B47)</f>
        <v/>
      </c>
      <c r="C88" s="7">
        <f>IF(listing_areas!C47="","",listing_areas!C47)</f>
        <v/>
      </c>
      <c r="D88" s="7">
        <f>IF(listing_areas!D47="","",listing_areas!D47)</f>
        <v/>
      </c>
      <c r="E88" s="7">
        <f>IF(listing_areas!E47="","",listing_areas!E47)</f>
        <v/>
      </c>
      <c r="F88" s="9">
        <f>IF(listing_areas!F47="","",listing_areas!F47)</f>
        <v/>
      </c>
      <c r="G88" s="13">
        <f>IF(listing_areas!G47="","",listing_areas!G47)</f>
        <v/>
      </c>
      <c r="H88" s="13">
        <f>IF(listing_areas!H47="","",listing_areas!H47)</f>
        <v/>
      </c>
      <c r="I88">
        <f>IF(listing_areas!I47="","",listing_areas!I47)</f>
        <v/>
      </c>
      <c r="U88">
        <f>IF(listing_areas!C85&lt;&gt;"",listing_areas!C85,NA())</f>
        <v/>
      </c>
      <c r="V88">
        <f>IF(listing_areas!C85&lt;&gt;"",listing_areas!D85,NA())</f>
        <v/>
      </c>
    </row>
    <row r="89">
      <c r="A89">
        <f>IF(listing_areas!A48="","",listing_areas!A48)</f>
        <v/>
      </c>
      <c r="B89">
        <f>IF(listing_areas!B48="","",listing_areas!B48)</f>
        <v/>
      </c>
      <c r="C89" s="7">
        <f>IF(listing_areas!C48="","",listing_areas!C48)</f>
        <v/>
      </c>
      <c r="D89" s="7">
        <f>IF(listing_areas!D48="","",listing_areas!D48)</f>
        <v/>
      </c>
      <c r="E89" s="7">
        <f>IF(listing_areas!E48="","",listing_areas!E48)</f>
        <v/>
      </c>
      <c r="F89" s="9">
        <f>IF(listing_areas!F48="","",listing_areas!F48)</f>
        <v/>
      </c>
      <c r="G89" s="13">
        <f>IF(listing_areas!G48="","",listing_areas!G48)</f>
        <v/>
      </c>
      <c r="H89" s="13">
        <f>IF(listing_areas!H48="","",listing_areas!H48)</f>
        <v/>
      </c>
      <c r="I89">
        <f>IF(listing_areas!I48="","",listing_areas!I48)</f>
        <v/>
      </c>
      <c r="U89">
        <f>IF(listing_areas!C86&lt;&gt;"",listing_areas!C86,NA())</f>
        <v/>
      </c>
      <c r="V89">
        <f>IF(listing_areas!C86&lt;&gt;"",listing_areas!D86,NA())</f>
        <v/>
      </c>
    </row>
    <row r="90">
      <c r="A90">
        <f>IF(listing_areas!A49="","",listing_areas!A49)</f>
        <v/>
      </c>
      <c r="B90">
        <f>IF(listing_areas!B49="","",listing_areas!B49)</f>
        <v/>
      </c>
      <c r="C90" s="7">
        <f>IF(listing_areas!C49="","",listing_areas!C49)</f>
        <v/>
      </c>
      <c r="D90" s="7">
        <f>IF(listing_areas!D49="","",listing_areas!D49)</f>
        <v/>
      </c>
      <c r="E90" s="7">
        <f>IF(listing_areas!E49="","",listing_areas!E49)</f>
        <v/>
      </c>
      <c r="F90" s="9">
        <f>IF(listing_areas!F49="","",listing_areas!F49)</f>
        <v/>
      </c>
      <c r="G90" s="13">
        <f>IF(listing_areas!G49="","",listing_areas!G49)</f>
        <v/>
      </c>
      <c r="H90" s="13">
        <f>IF(listing_areas!H49="","",listing_areas!H49)</f>
        <v/>
      </c>
      <c r="I90">
        <f>IF(listing_areas!I49="","",listing_areas!I49)</f>
        <v/>
      </c>
      <c r="U90">
        <f>IF(listing_areas!C87&lt;&gt;"",listing_areas!C87,NA())</f>
        <v/>
      </c>
      <c r="V90">
        <f>IF(listing_areas!C87&lt;&gt;"",listing_areas!D87,NA())</f>
        <v/>
      </c>
    </row>
    <row r="91">
      <c r="A91">
        <f>IF(listing_areas!A50="","",listing_areas!A50)</f>
        <v/>
      </c>
      <c r="B91">
        <f>IF(listing_areas!B50="","",listing_areas!B50)</f>
        <v/>
      </c>
      <c r="C91" s="7">
        <f>IF(listing_areas!C50="","",listing_areas!C50)</f>
        <v/>
      </c>
      <c r="D91" s="7">
        <f>IF(listing_areas!D50="","",listing_areas!D50)</f>
        <v/>
      </c>
      <c r="E91" s="7">
        <f>IF(listing_areas!E50="","",listing_areas!E50)</f>
        <v/>
      </c>
      <c r="F91" s="9">
        <f>IF(listing_areas!F50="","",listing_areas!F50)</f>
        <v/>
      </c>
      <c r="G91" s="13">
        <f>IF(listing_areas!G50="","",listing_areas!G50)</f>
        <v/>
      </c>
      <c r="H91" s="13">
        <f>IF(listing_areas!H50="","",listing_areas!H50)</f>
        <v/>
      </c>
      <c r="I91">
        <f>IF(listing_areas!I50="","",listing_areas!I50)</f>
        <v/>
      </c>
      <c r="U91">
        <f>IF(listing_areas!C88&lt;&gt;"",listing_areas!C88,NA())</f>
        <v/>
      </c>
      <c r="V91">
        <f>IF(listing_areas!C88&lt;&gt;"",listing_areas!D88,NA())</f>
        <v/>
      </c>
    </row>
    <row r="92">
      <c r="A92">
        <f>IF(listing_areas!A51="","",listing_areas!A51)</f>
        <v/>
      </c>
      <c r="B92">
        <f>IF(listing_areas!B51="","",listing_areas!B51)</f>
        <v/>
      </c>
      <c r="C92" s="7">
        <f>IF(listing_areas!C51="","",listing_areas!C51)</f>
        <v/>
      </c>
      <c r="D92" s="7">
        <f>IF(listing_areas!D51="","",listing_areas!D51)</f>
        <v/>
      </c>
      <c r="E92" s="7">
        <f>IF(listing_areas!E51="","",listing_areas!E51)</f>
        <v/>
      </c>
      <c r="F92" s="9">
        <f>IF(listing_areas!F51="","",listing_areas!F51)</f>
        <v/>
      </c>
      <c r="G92" s="13">
        <f>IF(listing_areas!G51="","",listing_areas!G51)</f>
        <v/>
      </c>
      <c r="H92" s="13">
        <f>IF(listing_areas!H51="","",listing_areas!H51)</f>
        <v/>
      </c>
      <c r="I92">
        <f>IF(listing_areas!I51="","",listing_areas!I51)</f>
        <v/>
      </c>
      <c r="U92">
        <f>IF(listing_areas!C89&lt;&gt;"",listing_areas!C89,NA())</f>
        <v/>
      </c>
      <c r="V92">
        <f>IF(listing_areas!C89&lt;&gt;"",listing_areas!D89,NA())</f>
        <v/>
      </c>
    </row>
    <row r="93">
      <c r="A93">
        <f>IF(listing_areas!A52="","",listing_areas!A52)</f>
        <v/>
      </c>
      <c r="B93">
        <f>IF(listing_areas!B52="","",listing_areas!B52)</f>
        <v/>
      </c>
      <c r="C93" s="7">
        <f>IF(listing_areas!C52="","",listing_areas!C52)</f>
        <v/>
      </c>
      <c r="D93" s="7">
        <f>IF(listing_areas!D52="","",listing_areas!D52)</f>
        <v/>
      </c>
      <c r="E93" s="7">
        <f>IF(listing_areas!E52="","",listing_areas!E52)</f>
        <v/>
      </c>
      <c r="F93" s="9">
        <f>IF(listing_areas!F52="","",listing_areas!F52)</f>
        <v/>
      </c>
      <c r="G93" s="13">
        <f>IF(listing_areas!G52="","",listing_areas!G52)</f>
        <v/>
      </c>
      <c r="H93" s="13">
        <f>IF(listing_areas!H52="","",listing_areas!H52)</f>
        <v/>
      </c>
      <c r="I93">
        <f>IF(listing_areas!I52="","",listing_areas!I52)</f>
        <v/>
      </c>
      <c r="U93">
        <f>IF(listing_areas!C90&lt;&gt;"",listing_areas!C90,NA())</f>
        <v/>
      </c>
      <c r="V93">
        <f>IF(listing_areas!C90&lt;&gt;"",listing_areas!D90,NA())</f>
        <v/>
      </c>
    </row>
    <row r="94">
      <c r="A94">
        <f>IF(listing_areas!A53="","",listing_areas!A53)</f>
        <v/>
      </c>
      <c r="B94">
        <f>IF(listing_areas!B53="","",listing_areas!B53)</f>
        <v/>
      </c>
      <c r="C94" s="7">
        <f>IF(listing_areas!C53="","",listing_areas!C53)</f>
        <v/>
      </c>
      <c r="D94" s="7">
        <f>IF(listing_areas!D53="","",listing_areas!D53)</f>
        <v/>
      </c>
      <c r="E94" s="7">
        <f>IF(listing_areas!E53="","",listing_areas!E53)</f>
        <v/>
      </c>
      <c r="F94" s="9">
        <f>IF(listing_areas!F53="","",listing_areas!F53)</f>
        <v/>
      </c>
      <c r="G94" s="13">
        <f>IF(listing_areas!G53="","",listing_areas!G53)</f>
        <v/>
      </c>
      <c r="H94" s="13">
        <f>IF(listing_areas!H53="","",listing_areas!H53)</f>
        <v/>
      </c>
      <c r="I94">
        <f>IF(listing_areas!I53="","",listing_areas!I53)</f>
        <v/>
      </c>
      <c r="U94">
        <f>IF(listing_areas!C91&lt;&gt;"",listing_areas!C91,NA())</f>
        <v/>
      </c>
      <c r="V94">
        <f>IF(listing_areas!C91&lt;&gt;"",listing_areas!D91,NA())</f>
        <v/>
      </c>
    </row>
    <row r="95">
      <c r="A95">
        <f>IF(listing_areas!A54="","",listing_areas!A54)</f>
        <v/>
      </c>
      <c r="B95">
        <f>IF(listing_areas!B54="","",listing_areas!B54)</f>
        <v/>
      </c>
      <c r="C95" s="7">
        <f>IF(listing_areas!C54="","",listing_areas!C54)</f>
        <v/>
      </c>
      <c r="D95" s="7">
        <f>IF(listing_areas!D54="","",listing_areas!D54)</f>
        <v/>
      </c>
      <c r="E95" s="7">
        <f>IF(listing_areas!E54="","",listing_areas!E54)</f>
        <v/>
      </c>
      <c r="F95" s="9">
        <f>IF(listing_areas!F54="","",listing_areas!F54)</f>
        <v/>
      </c>
      <c r="G95" s="13">
        <f>IF(listing_areas!G54="","",listing_areas!G54)</f>
        <v/>
      </c>
      <c r="H95" s="13">
        <f>IF(listing_areas!H54="","",listing_areas!H54)</f>
        <v/>
      </c>
      <c r="I95">
        <f>IF(listing_areas!I54="","",listing_areas!I54)</f>
        <v/>
      </c>
      <c r="U95">
        <f>IF(listing_areas!C92&lt;&gt;"",listing_areas!C92,NA())</f>
        <v/>
      </c>
      <c r="V95">
        <f>IF(listing_areas!C92&lt;&gt;"",listing_areas!D92,NA())</f>
        <v/>
      </c>
    </row>
    <row r="96">
      <c r="A96">
        <f>IF(listing_areas!A55="","",listing_areas!A55)</f>
        <v/>
      </c>
      <c r="B96">
        <f>IF(listing_areas!B55="","",listing_areas!B55)</f>
        <v/>
      </c>
      <c r="C96" s="7">
        <f>IF(listing_areas!C55="","",listing_areas!C55)</f>
        <v/>
      </c>
      <c r="D96" s="7">
        <f>IF(listing_areas!D55="","",listing_areas!D55)</f>
        <v/>
      </c>
      <c r="E96" s="7">
        <f>IF(listing_areas!E55="","",listing_areas!E55)</f>
        <v/>
      </c>
      <c r="F96" s="9">
        <f>IF(listing_areas!F55="","",listing_areas!F55)</f>
        <v/>
      </c>
      <c r="G96" s="13">
        <f>IF(listing_areas!G55="","",listing_areas!G55)</f>
        <v/>
      </c>
      <c r="H96" s="13">
        <f>IF(listing_areas!H55="","",listing_areas!H55)</f>
        <v/>
      </c>
      <c r="I96">
        <f>IF(listing_areas!I55="","",listing_areas!I55)</f>
        <v/>
      </c>
      <c r="U96">
        <f>IF(listing_areas!C93&lt;&gt;"",listing_areas!C93,NA())</f>
        <v/>
      </c>
      <c r="V96">
        <f>IF(listing_areas!C93&lt;&gt;"",listing_areas!D93,NA())</f>
        <v/>
      </c>
    </row>
    <row r="97">
      <c r="A97">
        <f>IF(listing_areas!A56="","",listing_areas!A56)</f>
        <v/>
      </c>
      <c r="B97">
        <f>IF(listing_areas!B56="","",listing_areas!B56)</f>
        <v/>
      </c>
      <c r="C97" s="7">
        <f>IF(listing_areas!C56="","",listing_areas!C56)</f>
        <v/>
      </c>
      <c r="D97" s="7">
        <f>IF(listing_areas!D56="","",listing_areas!D56)</f>
        <v/>
      </c>
      <c r="E97" s="7">
        <f>IF(listing_areas!E56="","",listing_areas!E56)</f>
        <v/>
      </c>
      <c r="F97" s="9">
        <f>IF(listing_areas!F56="","",listing_areas!F56)</f>
        <v/>
      </c>
      <c r="G97" s="13">
        <f>IF(listing_areas!G56="","",listing_areas!G56)</f>
        <v/>
      </c>
      <c r="H97" s="13">
        <f>IF(listing_areas!H56="","",listing_areas!H56)</f>
        <v/>
      </c>
      <c r="I97">
        <f>IF(listing_areas!I56="","",listing_areas!I56)</f>
        <v/>
      </c>
      <c r="U97">
        <f>IF(listing_areas!C94&lt;&gt;"",listing_areas!C94,NA())</f>
        <v/>
      </c>
      <c r="V97">
        <f>IF(listing_areas!C94&lt;&gt;"",listing_areas!D94,NA())</f>
        <v/>
      </c>
    </row>
    <row r="98">
      <c r="A98">
        <f>IF(listing_areas!A57="","",listing_areas!A57)</f>
        <v/>
      </c>
      <c r="B98">
        <f>IF(listing_areas!B57="","",listing_areas!B57)</f>
        <v/>
      </c>
      <c r="C98" s="7">
        <f>IF(listing_areas!C57="","",listing_areas!C57)</f>
        <v/>
      </c>
      <c r="D98" s="7">
        <f>IF(listing_areas!D57="","",listing_areas!D57)</f>
        <v/>
      </c>
      <c r="E98" s="7">
        <f>IF(listing_areas!E57="","",listing_areas!E57)</f>
        <v/>
      </c>
      <c r="F98" s="9">
        <f>IF(listing_areas!F57="","",listing_areas!F57)</f>
        <v/>
      </c>
      <c r="G98" s="13">
        <f>IF(listing_areas!G57="","",listing_areas!G57)</f>
        <v/>
      </c>
      <c r="H98" s="13">
        <f>IF(listing_areas!H57="","",listing_areas!H57)</f>
        <v/>
      </c>
      <c r="I98">
        <f>IF(listing_areas!I57="","",listing_areas!I57)</f>
        <v/>
      </c>
      <c r="U98">
        <f>IF(listing_areas!C95&lt;&gt;"",listing_areas!C95,NA())</f>
        <v/>
      </c>
      <c r="V98">
        <f>IF(listing_areas!C95&lt;&gt;"",listing_areas!D95,NA())</f>
        <v/>
      </c>
    </row>
    <row r="99">
      <c r="A99">
        <f>IF(listing_areas!A58="","",listing_areas!A58)</f>
        <v/>
      </c>
      <c r="B99">
        <f>IF(listing_areas!B58="","",listing_areas!B58)</f>
        <v/>
      </c>
      <c r="C99" s="7">
        <f>IF(listing_areas!C58="","",listing_areas!C58)</f>
        <v/>
      </c>
      <c r="D99" s="7">
        <f>IF(listing_areas!D58="","",listing_areas!D58)</f>
        <v/>
      </c>
      <c r="E99" s="7">
        <f>IF(listing_areas!E58="","",listing_areas!E58)</f>
        <v/>
      </c>
      <c r="F99" s="9">
        <f>IF(listing_areas!F58="","",listing_areas!F58)</f>
        <v/>
      </c>
      <c r="G99" s="13">
        <f>IF(listing_areas!G58="","",listing_areas!G58)</f>
        <v/>
      </c>
      <c r="H99" s="13">
        <f>IF(listing_areas!H58="","",listing_areas!H58)</f>
        <v/>
      </c>
      <c r="I99">
        <f>IF(listing_areas!I58="","",listing_areas!I58)</f>
        <v/>
      </c>
      <c r="U99">
        <f>IF(listing_areas!C96&lt;&gt;"",listing_areas!C96,NA())</f>
        <v/>
      </c>
      <c r="V99">
        <f>IF(listing_areas!C96&lt;&gt;"",listing_areas!D96,NA())</f>
        <v/>
      </c>
    </row>
    <row r="100">
      <c r="A100">
        <f>IF(listing_areas!A59="","",listing_areas!A59)</f>
        <v/>
      </c>
      <c r="B100">
        <f>IF(listing_areas!B59="","",listing_areas!B59)</f>
        <v/>
      </c>
      <c r="C100" s="7">
        <f>IF(listing_areas!C59="","",listing_areas!C59)</f>
        <v/>
      </c>
      <c r="D100" s="7">
        <f>IF(listing_areas!D59="","",listing_areas!D59)</f>
        <v/>
      </c>
      <c r="E100" s="7">
        <f>IF(listing_areas!E59="","",listing_areas!E59)</f>
        <v/>
      </c>
      <c r="F100" s="9">
        <f>IF(listing_areas!F59="","",listing_areas!F59)</f>
        <v/>
      </c>
      <c r="G100" s="13">
        <f>IF(listing_areas!G59="","",listing_areas!G59)</f>
        <v/>
      </c>
      <c r="H100" s="13">
        <f>IF(listing_areas!H59="","",listing_areas!H59)</f>
        <v/>
      </c>
      <c r="I100">
        <f>IF(listing_areas!I59="","",listing_areas!I59)</f>
        <v/>
      </c>
      <c r="U100">
        <f>IF(listing_areas!C97&lt;&gt;"",listing_areas!C97,NA())</f>
        <v/>
      </c>
      <c r="V100">
        <f>IF(listing_areas!C97&lt;&gt;"",listing_areas!D97,NA())</f>
        <v/>
      </c>
    </row>
    <row r="101">
      <c r="A101">
        <f>IF(listing_areas!A60="","",listing_areas!A60)</f>
        <v/>
      </c>
      <c r="B101">
        <f>IF(listing_areas!B60="","",listing_areas!B60)</f>
        <v/>
      </c>
      <c r="C101" s="7">
        <f>IF(listing_areas!C60="","",listing_areas!C60)</f>
        <v/>
      </c>
      <c r="D101" s="7">
        <f>IF(listing_areas!D60="","",listing_areas!D60)</f>
        <v/>
      </c>
      <c r="E101" s="7">
        <f>IF(listing_areas!E60="","",listing_areas!E60)</f>
        <v/>
      </c>
      <c r="F101" s="9">
        <f>IF(listing_areas!F60="","",listing_areas!F60)</f>
        <v/>
      </c>
      <c r="G101" s="13">
        <f>IF(listing_areas!G60="","",listing_areas!G60)</f>
        <v/>
      </c>
      <c r="H101" s="13">
        <f>IF(listing_areas!H60="","",listing_areas!H60)</f>
        <v/>
      </c>
      <c r="I101">
        <f>IF(listing_areas!I60="","",listing_areas!I60)</f>
        <v/>
      </c>
      <c r="U101">
        <f>IF(listing_areas!C98&lt;&gt;"",listing_areas!C98,NA())</f>
        <v/>
      </c>
      <c r="V101">
        <f>IF(listing_areas!C98&lt;&gt;"",listing_areas!D98,NA())</f>
        <v/>
      </c>
    </row>
    <row r="102">
      <c r="A102">
        <f>IF(listing_areas!A61="","",listing_areas!A61)</f>
        <v/>
      </c>
      <c r="B102">
        <f>IF(listing_areas!B61="","",listing_areas!B61)</f>
        <v/>
      </c>
      <c r="C102" s="7">
        <f>IF(listing_areas!C61="","",listing_areas!C61)</f>
        <v/>
      </c>
      <c r="D102" s="7">
        <f>IF(listing_areas!D61="","",listing_areas!D61)</f>
        <v/>
      </c>
      <c r="E102" s="7">
        <f>IF(listing_areas!E61="","",listing_areas!E61)</f>
        <v/>
      </c>
      <c r="F102" s="9">
        <f>IF(listing_areas!F61="","",listing_areas!F61)</f>
        <v/>
      </c>
      <c r="G102" s="13">
        <f>IF(listing_areas!G61="","",listing_areas!G61)</f>
        <v/>
      </c>
      <c r="H102" s="13">
        <f>IF(listing_areas!H61="","",listing_areas!H61)</f>
        <v/>
      </c>
      <c r="I102">
        <f>IF(listing_areas!I61="","",listing_areas!I61)</f>
        <v/>
      </c>
      <c r="U102">
        <f>IF(listing_areas!C99&lt;&gt;"",listing_areas!C99,NA())</f>
        <v/>
      </c>
      <c r="V102">
        <f>IF(listing_areas!C99&lt;&gt;"",listing_areas!D99,NA())</f>
        <v/>
      </c>
    </row>
    <row r="103">
      <c r="A103">
        <f>IF(listing_areas!A62="","",listing_areas!A62)</f>
        <v/>
      </c>
      <c r="B103">
        <f>IF(listing_areas!B62="","",listing_areas!B62)</f>
        <v/>
      </c>
      <c r="C103" s="7">
        <f>IF(listing_areas!C62="","",listing_areas!C62)</f>
        <v/>
      </c>
      <c r="D103" s="7">
        <f>IF(listing_areas!D62="","",listing_areas!D62)</f>
        <v/>
      </c>
      <c r="E103" s="7">
        <f>IF(listing_areas!E62="","",listing_areas!E62)</f>
        <v/>
      </c>
      <c r="F103" s="9">
        <f>IF(listing_areas!F62="","",listing_areas!F62)</f>
        <v/>
      </c>
      <c r="G103" s="13">
        <f>IF(listing_areas!G62="","",listing_areas!G62)</f>
        <v/>
      </c>
      <c r="H103" s="13">
        <f>IF(listing_areas!H62="","",listing_areas!H62)</f>
        <v/>
      </c>
      <c r="I103">
        <f>IF(listing_areas!I62="","",listing_areas!I62)</f>
        <v/>
      </c>
      <c r="U103">
        <f>IF(listing_areas!C100&lt;&gt;"",listing_areas!C100,NA())</f>
        <v/>
      </c>
      <c r="V103">
        <f>IF(listing_areas!C100&lt;&gt;"",listing_areas!D100,NA())</f>
        <v/>
      </c>
    </row>
    <row r="104">
      <c r="A104">
        <f>IF(listing_areas!A63="","",listing_areas!A63)</f>
        <v/>
      </c>
      <c r="B104">
        <f>IF(listing_areas!B63="","",listing_areas!B63)</f>
        <v/>
      </c>
      <c r="C104" s="7">
        <f>IF(listing_areas!C63="","",listing_areas!C63)</f>
        <v/>
      </c>
      <c r="D104" s="7">
        <f>IF(listing_areas!D63="","",listing_areas!D63)</f>
        <v/>
      </c>
      <c r="E104" s="7">
        <f>IF(listing_areas!E63="","",listing_areas!E63)</f>
        <v/>
      </c>
      <c r="F104" s="9">
        <f>IF(listing_areas!F63="","",listing_areas!F63)</f>
        <v/>
      </c>
      <c r="G104" s="13">
        <f>IF(listing_areas!G63="","",listing_areas!G63)</f>
        <v/>
      </c>
      <c r="H104" s="13">
        <f>IF(listing_areas!H63="","",listing_areas!H63)</f>
        <v/>
      </c>
      <c r="I104">
        <f>IF(listing_areas!I63="","",listing_areas!I63)</f>
        <v/>
      </c>
      <c r="U104">
        <f>IF(listing_areas!C101&lt;&gt;"",listing_areas!C101,NA())</f>
        <v/>
      </c>
      <c r="V104">
        <f>IF(listing_areas!C101&lt;&gt;"",listing_areas!D101,NA())</f>
        <v/>
      </c>
    </row>
    <row r="105">
      <c r="A105">
        <f>IF(listing_areas!A64="","",listing_areas!A64)</f>
        <v/>
      </c>
      <c r="B105">
        <f>IF(listing_areas!B64="","",listing_areas!B64)</f>
        <v/>
      </c>
      <c r="C105" s="7">
        <f>IF(listing_areas!C64="","",listing_areas!C64)</f>
        <v/>
      </c>
      <c r="D105" s="7">
        <f>IF(listing_areas!D64="","",listing_areas!D64)</f>
        <v/>
      </c>
      <c r="E105" s="7">
        <f>IF(listing_areas!E64="","",listing_areas!E64)</f>
        <v/>
      </c>
      <c r="F105" s="9">
        <f>IF(listing_areas!F64="","",listing_areas!F64)</f>
        <v/>
      </c>
      <c r="G105" s="13">
        <f>IF(listing_areas!G64="","",listing_areas!G64)</f>
        <v/>
      </c>
      <c r="H105" s="13">
        <f>IF(listing_areas!H64="","",listing_areas!H64)</f>
        <v/>
      </c>
      <c r="I105">
        <f>IF(listing_areas!I64="","",listing_areas!I64)</f>
        <v/>
      </c>
      <c r="U105">
        <f>IF(listing_areas!C102&lt;&gt;"",listing_areas!C102,NA())</f>
        <v/>
      </c>
      <c r="V105">
        <f>IF(listing_areas!C102&lt;&gt;"",listing_areas!D102,NA())</f>
        <v/>
      </c>
    </row>
    <row r="106">
      <c r="A106">
        <f>IF(listing_areas!A65="","",listing_areas!A65)</f>
        <v/>
      </c>
      <c r="B106">
        <f>IF(listing_areas!B65="","",listing_areas!B65)</f>
        <v/>
      </c>
      <c r="C106" s="7">
        <f>IF(listing_areas!C65="","",listing_areas!C65)</f>
        <v/>
      </c>
      <c r="D106" s="7">
        <f>IF(listing_areas!D65="","",listing_areas!D65)</f>
        <v/>
      </c>
      <c r="E106" s="7">
        <f>IF(listing_areas!E65="","",listing_areas!E65)</f>
        <v/>
      </c>
      <c r="F106" s="9">
        <f>IF(listing_areas!F65="","",listing_areas!F65)</f>
        <v/>
      </c>
      <c r="G106" s="13">
        <f>IF(listing_areas!G65="","",listing_areas!G65)</f>
        <v/>
      </c>
      <c r="H106" s="13">
        <f>IF(listing_areas!H65="","",listing_areas!H65)</f>
        <v/>
      </c>
      <c r="I106">
        <f>IF(listing_areas!I65="","",listing_areas!I65)</f>
        <v/>
      </c>
      <c r="U106">
        <f>IF(listing_areas!C103&lt;&gt;"",listing_areas!C103,NA())</f>
        <v/>
      </c>
      <c r="V106">
        <f>IF(listing_areas!C103&lt;&gt;"",listing_areas!D103,NA())</f>
        <v/>
      </c>
    </row>
    <row r="107">
      <c r="A107">
        <f>IF(listing_areas!A66="","",listing_areas!A66)</f>
        <v/>
      </c>
      <c r="B107">
        <f>IF(listing_areas!B66="","",listing_areas!B66)</f>
        <v/>
      </c>
      <c r="C107" s="7">
        <f>IF(listing_areas!C66="","",listing_areas!C66)</f>
        <v/>
      </c>
      <c r="D107" s="7">
        <f>IF(listing_areas!D66="","",listing_areas!D66)</f>
        <v/>
      </c>
      <c r="E107" s="7">
        <f>IF(listing_areas!E66="","",listing_areas!E66)</f>
        <v/>
      </c>
      <c r="F107" s="9">
        <f>IF(listing_areas!F66="","",listing_areas!F66)</f>
        <v/>
      </c>
      <c r="G107" s="13">
        <f>IF(listing_areas!G66="","",listing_areas!G66)</f>
        <v/>
      </c>
      <c r="H107" s="13">
        <f>IF(listing_areas!H66="","",listing_areas!H66)</f>
        <v/>
      </c>
      <c r="I107">
        <f>IF(listing_areas!I66="","",listing_areas!I66)</f>
        <v/>
      </c>
      <c r="U107">
        <f>IF(listing_areas!C104&lt;&gt;"",listing_areas!C104,NA())</f>
        <v/>
      </c>
      <c r="V107">
        <f>IF(listing_areas!C104&lt;&gt;"",listing_areas!D104,NA())</f>
        <v/>
      </c>
    </row>
    <row r="108">
      <c r="A108">
        <f>IF(listing_areas!A67="","",listing_areas!A67)</f>
        <v/>
      </c>
      <c r="B108">
        <f>IF(listing_areas!B67="","",listing_areas!B67)</f>
        <v/>
      </c>
      <c r="C108" s="7">
        <f>IF(listing_areas!C67="","",listing_areas!C67)</f>
        <v/>
      </c>
      <c r="D108" s="7">
        <f>IF(listing_areas!D67="","",listing_areas!D67)</f>
        <v/>
      </c>
      <c r="E108" s="7">
        <f>IF(listing_areas!E67="","",listing_areas!E67)</f>
        <v/>
      </c>
      <c r="F108" s="9">
        <f>IF(listing_areas!F67="","",listing_areas!F67)</f>
        <v/>
      </c>
      <c r="G108" s="13">
        <f>IF(listing_areas!G67="","",listing_areas!G67)</f>
        <v/>
      </c>
      <c r="H108" s="13">
        <f>IF(listing_areas!H67="","",listing_areas!H67)</f>
        <v/>
      </c>
      <c r="I108">
        <f>IF(listing_areas!I67="","",listing_areas!I67)</f>
        <v/>
      </c>
      <c r="U108">
        <f>IF(listing_areas!C105&lt;&gt;"",listing_areas!C105,NA())</f>
        <v/>
      </c>
      <c r="V108">
        <f>IF(listing_areas!C105&lt;&gt;"",listing_areas!D105,NA())</f>
        <v/>
      </c>
    </row>
    <row r="109">
      <c r="A109">
        <f>IF(listing_areas!A68="","",listing_areas!A68)</f>
        <v/>
      </c>
      <c r="B109">
        <f>IF(listing_areas!B68="","",listing_areas!B68)</f>
        <v/>
      </c>
      <c r="C109" s="7">
        <f>IF(listing_areas!C68="","",listing_areas!C68)</f>
        <v/>
      </c>
      <c r="D109" s="7">
        <f>IF(listing_areas!D68="","",listing_areas!D68)</f>
        <v/>
      </c>
      <c r="E109" s="7">
        <f>IF(listing_areas!E68="","",listing_areas!E68)</f>
        <v/>
      </c>
      <c r="F109" s="9">
        <f>IF(listing_areas!F68="","",listing_areas!F68)</f>
        <v/>
      </c>
      <c r="G109" s="13">
        <f>IF(listing_areas!G68="","",listing_areas!G68)</f>
        <v/>
      </c>
      <c r="H109" s="13">
        <f>IF(listing_areas!H68="","",listing_areas!H68)</f>
        <v/>
      </c>
      <c r="I109">
        <f>IF(listing_areas!I68="","",listing_areas!I68)</f>
        <v/>
      </c>
      <c r="U109">
        <f>IF(listing_areas!C106&lt;&gt;"",listing_areas!C106,NA())</f>
        <v/>
      </c>
      <c r="V109">
        <f>IF(listing_areas!C106&lt;&gt;"",listing_areas!D106,NA())</f>
        <v/>
      </c>
    </row>
    <row r="110">
      <c r="A110">
        <f>IF(listing_areas!A69="","",listing_areas!A69)</f>
        <v/>
      </c>
      <c r="B110">
        <f>IF(listing_areas!B69="","",listing_areas!B69)</f>
        <v/>
      </c>
      <c r="C110" s="7">
        <f>IF(listing_areas!C69="","",listing_areas!C69)</f>
        <v/>
      </c>
      <c r="D110" s="7">
        <f>IF(listing_areas!D69="","",listing_areas!D69)</f>
        <v/>
      </c>
      <c r="E110" s="7">
        <f>IF(listing_areas!E69="","",listing_areas!E69)</f>
        <v/>
      </c>
      <c r="F110" s="9">
        <f>IF(listing_areas!F69="","",listing_areas!F69)</f>
        <v/>
      </c>
      <c r="G110" s="13">
        <f>IF(listing_areas!G69="","",listing_areas!G69)</f>
        <v/>
      </c>
      <c r="H110" s="13">
        <f>IF(listing_areas!H69="","",listing_areas!H69)</f>
        <v/>
      </c>
      <c r="I110">
        <f>IF(listing_areas!I69="","",listing_areas!I69)</f>
        <v/>
      </c>
      <c r="U110">
        <f>IF(listing_areas!C107&lt;&gt;"",listing_areas!C107,NA())</f>
        <v/>
      </c>
      <c r="V110">
        <f>IF(listing_areas!C107&lt;&gt;"",listing_areas!D107,NA())</f>
        <v/>
      </c>
    </row>
    <row r="111">
      <c r="A111">
        <f>IF(listing_areas!A70="","",listing_areas!A70)</f>
        <v/>
      </c>
      <c r="B111">
        <f>IF(listing_areas!B70="","",listing_areas!B70)</f>
        <v/>
      </c>
      <c r="C111" s="7">
        <f>IF(listing_areas!C70="","",listing_areas!C70)</f>
        <v/>
      </c>
      <c r="D111" s="7">
        <f>IF(listing_areas!D70="","",listing_areas!D70)</f>
        <v/>
      </c>
      <c r="E111" s="7">
        <f>IF(listing_areas!E70="","",listing_areas!E70)</f>
        <v/>
      </c>
      <c r="F111" s="9">
        <f>IF(listing_areas!F70="","",listing_areas!F70)</f>
        <v/>
      </c>
      <c r="G111" s="13">
        <f>IF(listing_areas!G70="","",listing_areas!G70)</f>
        <v/>
      </c>
      <c r="H111" s="13">
        <f>IF(listing_areas!H70="","",listing_areas!H70)</f>
        <v/>
      </c>
      <c r="I111">
        <f>IF(listing_areas!I70="","",listing_areas!I70)</f>
        <v/>
      </c>
      <c r="U111">
        <f>IF(listing_areas!C108&lt;&gt;"",listing_areas!C108,NA())</f>
        <v/>
      </c>
      <c r="V111">
        <f>IF(listing_areas!C108&lt;&gt;"",listing_areas!D108,NA())</f>
        <v/>
      </c>
    </row>
    <row r="112">
      <c r="A112">
        <f>IF(listing_areas!A71="","",listing_areas!A71)</f>
        <v/>
      </c>
      <c r="B112">
        <f>IF(listing_areas!B71="","",listing_areas!B71)</f>
        <v/>
      </c>
      <c r="C112" s="7">
        <f>IF(listing_areas!C71="","",listing_areas!C71)</f>
        <v/>
      </c>
      <c r="D112" s="7">
        <f>IF(listing_areas!D71="","",listing_areas!D71)</f>
        <v/>
      </c>
      <c r="E112" s="7">
        <f>IF(listing_areas!E71="","",listing_areas!E71)</f>
        <v/>
      </c>
      <c r="F112" s="9">
        <f>IF(listing_areas!F71="","",listing_areas!F71)</f>
        <v/>
      </c>
      <c r="G112" s="13">
        <f>IF(listing_areas!G71="","",listing_areas!G71)</f>
        <v/>
      </c>
      <c r="H112" s="13">
        <f>IF(listing_areas!H71="","",listing_areas!H71)</f>
        <v/>
      </c>
      <c r="I112">
        <f>IF(listing_areas!I71="","",listing_areas!I71)</f>
        <v/>
      </c>
      <c r="U112">
        <f>IF(listing_areas!C109&lt;&gt;"",listing_areas!C109,NA())</f>
        <v/>
      </c>
      <c r="V112">
        <f>IF(listing_areas!C109&lt;&gt;"",listing_areas!D109,NA())</f>
        <v/>
      </c>
    </row>
    <row r="113">
      <c r="A113">
        <f>IF(listing_areas!A72="","",listing_areas!A72)</f>
        <v/>
      </c>
      <c r="B113">
        <f>IF(listing_areas!B72="","",listing_areas!B72)</f>
        <v/>
      </c>
      <c r="C113" s="7">
        <f>IF(listing_areas!C72="","",listing_areas!C72)</f>
        <v/>
      </c>
      <c r="D113" s="7">
        <f>IF(listing_areas!D72="","",listing_areas!D72)</f>
        <v/>
      </c>
      <c r="E113" s="7">
        <f>IF(listing_areas!E72="","",listing_areas!E72)</f>
        <v/>
      </c>
      <c r="F113" s="9">
        <f>IF(listing_areas!F72="","",listing_areas!F72)</f>
        <v/>
      </c>
      <c r="G113" s="13">
        <f>IF(listing_areas!G72="","",listing_areas!G72)</f>
        <v/>
      </c>
      <c r="H113" s="13">
        <f>IF(listing_areas!H72="","",listing_areas!H72)</f>
        <v/>
      </c>
      <c r="I113">
        <f>IF(listing_areas!I72="","",listing_areas!I72)</f>
        <v/>
      </c>
      <c r="U113">
        <f>IF(listing_areas!C110&lt;&gt;"",listing_areas!C110,NA())</f>
        <v/>
      </c>
      <c r="V113">
        <f>IF(listing_areas!C110&lt;&gt;"",listing_areas!D110,NA())</f>
        <v/>
      </c>
    </row>
    <row r="114">
      <c r="A114">
        <f>IF(listing_areas!A73="","",listing_areas!A73)</f>
        <v/>
      </c>
      <c r="B114">
        <f>IF(listing_areas!B73="","",listing_areas!B73)</f>
        <v/>
      </c>
      <c r="C114" s="7">
        <f>IF(listing_areas!C73="","",listing_areas!C73)</f>
        <v/>
      </c>
      <c r="D114" s="7">
        <f>IF(listing_areas!D73="","",listing_areas!D73)</f>
        <v/>
      </c>
      <c r="E114" s="7">
        <f>IF(listing_areas!E73="","",listing_areas!E73)</f>
        <v/>
      </c>
      <c r="F114" s="9">
        <f>IF(listing_areas!F73="","",listing_areas!F73)</f>
        <v/>
      </c>
      <c r="G114" s="13">
        <f>IF(listing_areas!G73="","",listing_areas!G73)</f>
        <v/>
      </c>
      <c r="H114" s="13">
        <f>IF(listing_areas!H73="","",listing_areas!H73)</f>
        <v/>
      </c>
      <c r="I114">
        <f>IF(listing_areas!I73="","",listing_areas!I73)</f>
        <v/>
      </c>
      <c r="U114">
        <f>IF(listing_areas!C111&lt;&gt;"",listing_areas!C111,NA())</f>
        <v/>
      </c>
      <c r="V114">
        <f>IF(listing_areas!C111&lt;&gt;"",listing_areas!D111,NA())</f>
        <v/>
      </c>
    </row>
    <row r="115">
      <c r="A115">
        <f>IF(listing_areas!A74="","",listing_areas!A74)</f>
        <v/>
      </c>
      <c r="B115">
        <f>IF(listing_areas!B74="","",listing_areas!B74)</f>
        <v/>
      </c>
      <c r="C115" s="7">
        <f>IF(listing_areas!C74="","",listing_areas!C74)</f>
        <v/>
      </c>
      <c r="D115" s="7">
        <f>IF(listing_areas!D74="","",listing_areas!D74)</f>
        <v/>
      </c>
      <c r="E115" s="7">
        <f>IF(listing_areas!E74="","",listing_areas!E74)</f>
        <v/>
      </c>
      <c r="F115" s="9">
        <f>IF(listing_areas!F74="","",listing_areas!F74)</f>
        <v/>
      </c>
      <c r="G115" s="13">
        <f>IF(listing_areas!G74="","",listing_areas!G74)</f>
        <v/>
      </c>
      <c r="H115" s="13">
        <f>IF(listing_areas!H74="","",listing_areas!H74)</f>
        <v/>
      </c>
      <c r="I115">
        <f>IF(listing_areas!I74="","",listing_areas!I74)</f>
        <v/>
      </c>
      <c r="U115">
        <f>IF(listing_areas!C112&lt;&gt;"",listing_areas!C112,NA())</f>
        <v/>
      </c>
      <c r="V115">
        <f>IF(listing_areas!C112&lt;&gt;"",listing_areas!D112,NA())</f>
        <v/>
      </c>
    </row>
    <row r="116">
      <c r="A116">
        <f>IF(listing_areas!A75="","",listing_areas!A75)</f>
        <v/>
      </c>
      <c r="B116">
        <f>IF(listing_areas!B75="","",listing_areas!B75)</f>
        <v/>
      </c>
      <c r="C116" s="7">
        <f>IF(listing_areas!C75="","",listing_areas!C75)</f>
        <v/>
      </c>
      <c r="D116" s="7">
        <f>IF(listing_areas!D75="","",listing_areas!D75)</f>
        <v/>
      </c>
      <c r="E116" s="7">
        <f>IF(listing_areas!E75="","",listing_areas!E75)</f>
        <v/>
      </c>
      <c r="F116" s="9">
        <f>IF(listing_areas!F75="","",listing_areas!F75)</f>
        <v/>
      </c>
      <c r="G116" s="13">
        <f>IF(listing_areas!G75="","",listing_areas!G75)</f>
        <v/>
      </c>
      <c r="H116" s="13">
        <f>IF(listing_areas!H75="","",listing_areas!H75)</f>
        <v/>
      </c>
      <c r="I116">
        <f>IF(listing_areas!I75="","",listing_areas!I75)</f>
        <v/>
      </c>
      <c r="U116">
        <f>IF(listing_areas!C113&lt;&gt;"",listing_areas!C113,NA())</f>
        <v/>
      </c>
      <c r="V116">
        <f>IF(listing_areas!C113&lt;&gt;"",listing_areas!D113,NA())</f>
        <v/>
      </c>
    </row>
    <row r="117">
      <c r="A117">
        <f>IF(listing_areas!A76="","",listing_areas!A76)</f>
        <v/>
      </c>
      <c r="B117">
        <f>IF(listing_areas!B76="","",listing_areas!B76)</f>
        <v/>
      </c>
      <c r="C117" s="7">
        <f>IF(listing_areas!C76="","",listing_areas!C76)</f>
        <v/>
      </c>
      <c r="D117" s="7">
        <f>IF(listing_areas!D76="","",listing_areas!D76)</f>
        <v/>
      </c>
      <c r="E117" s="7">
        <f>IF(listing_areas!E76="","",listing_areas!E76)</f>
        <v/>
      </c>
      <c r="F117" s="9">
        <f>IF(listing_areas!F76="","",listing_areas!F76)</f>
        <v/>
      </c>
      <c r="G117" s="13">
        <f>IF(listing_areas!G76="","",listing_areas!G76)</f>
        <v/>
      </c>
      <c r="H117" s="13">
        <f>IF(listing_areas!H76="","",listing_areas!H76)</f>
        <v/>
      </c>
      <c r="I117">
        <f>IF(listing_areas!I76="","",listing_areas!I76)</f>
        <v/>
      </c>
      <c r="U117">
        <f>IF(listing_areas!C114&lt;&gt;"",listing_areas!C114,NA())</f>
        <v/>
      </c>
      <c r="V117">
        <f>IF(listing_areas!C114&lt;&gt;"",listing_areas!D114,NA())</f>
        <v/>
      </c>
    </row>
    <row r="118">
      <c r="A118">
        <f>IF(listing_areas!A77="","",listing_areas!A77)</f>
        <v/>
      </c>
      <c r="B118">
        <f>IF(listing_areas!B77="","",listing_areas!B77)</f>
        <v/>
      </c>
      <c r="C118" s="7">
        <f>IF(listing_areas!C77="","",listing_areas!C77)</f>
        <v/>
      </c>
      <c r="D118" s="7">
        <f>IF(listing_areas!D77="","",listing_areas!D77)</f>
        <v/>
      </c>
      <c r="E118" s="7">
        <f>IF(listing_areas!E77="","",listing_areas!E77)</f>
        <v/>
      </c>
      <c r="F118" s="9">
        <f>IF(listing_areas!F77="","",listing_areas!F77)</f>
        <v/>
      </c>
      <c r="G118" s="13">
        <f>IF(listing_areas!G77="","",listing_areas!G77)</f>
        <v/>
      </c>
      <c r="H118" s="13">
        <f>IF(listing_areas!H77="","",listing_areas!H77)</f>
        <v/>
      </c>
      <c r="I118">
        <f>IF(listing_areas!I77="","",listing_areas!I77)</f>
        <v/>
      </c>
      <c r="U118">
        <f>IF(listing_areas!C115&lt;&gt;"",listing_areas!C115,NA())</f>
        <v/>
      </c>
      <c r="V118">
        <f>IF(listing_areas!C115&lt;&gt;"",listing_areas!D115,NA())</f>
        <v/>
      </c>
    </row>
    <row r="119">
      <c r="A119">
        <f>IF(listing_areas!A78="","",listing_areas!A78)</f>
        <v/>
      </c>
      <c r="B119">
        <f>IF(listing_areas!B78="","",listing_areas!B78)</f>
        <v/>
      </c>
      <c r="C119" s="7">
        <f>IF(listing_areas!C78="","",listing_areas!C78)</f>
        <v/>
      </c>
      <c r="D119" s="7">
        <f>IF(listing_areas!D78="","",listing_areas!D78)</f>
        <v/>
      </c>
      <c r="E119" s="7">
        <f>IF(listing_areas!E78="","",listing_areas!E78)</f>
        <v/>
      </c>
      <c r="F119" s="9">
        <f>IF(listing_areas!F78="","",listing_areas!F78)</f>
        <v/>
      </c>
      <c r="G119" s="13">
        <f>IF(listing_areas!G78="","",listing_areas!G78)</f>
        <v/>
      </c>
      <c r="H119" s="13">
        <f>IF(listing_areas!H78="","",listing_areas!H78)</f>
        <v/>
      </c>
      <c r="I119">
        <f>IF(listing_areas!I78="","",listing_areas!I78)</f>
        <v/>
      </c>
      <c r="U119">
        <f>IF(listing_areas!C116&lt;&gt;"",listing_areas!C116,NA())</f>
        <v/>
      </c>
      <c r="V119">
        <f>IF(listing_areas!C116&lt;&gt;"",listing_areas!D116,NA())</f>
        <v/>
      </c>
    </row>
    <row r="120">
      <c r="A120">
        <f>IF(listing_areas!A79="","",listing_areas!A79)</f>
        <v/>
      </c>
      <c r="B120">
        <f>IF(listing_areas!B79="","",listing_areas!B79)</f>
        <v/>
      </c>
      <c r="C120" s="7">
        <f>IF(listing_areas!C79="","",listing_areas!C79)</f>
        <v/>
      </c>
      <c r="D120" s="7">
        <f>IF(listing_areas!D79="","",listing_areas!D79)</f>
        <v/>
      </c>
      <c r="E120" s="7">
        <f>IF(listing_areas!E79="","",listing_areas!E79)</f>
        <v/>
      </c>
      <c r="F120" s="9">
        <f>IF(listing_areas!F79="","",listing_areas!F79)</f>
        <v/>
      </c>
      <c r="G120" s="13">
        <f>IF(listing_areas!G79="","",listing_areas!G79)</f>
        <v/>
      </c>
      <c r="H120" s="13">
        <f>IF(listing_areas!H79="","",listing_areas!H79)</f>
        <v/>
      </c>
      <c r="I120">
        <f>IF(listing_areas!I79="","",listing_areas!I79)</f>
        <v/>
      </c>
      <c r="U120">
        <f>IF(listing_areas!C117&lt;&gt;"",listing_areas!C117,NA())</f>
        <v/>
      </c>
      <c r="V120">
        <f>IF(listing_areas!C117&lt;&gt;"",listing_areas!D117,NA())</f>
        <v/>
      </c>
    </row>
    <row r="121">
      <c r="A121">
        <f>IF(listing_areas!A80="","",listing_areas!A80)</f>
        <v/>
      </c>
      <c r="B121">
        <f>IF(listing_areas!B80="","",listing_areas!B80)</f>
        <v/>
      </c>
      <c r="C121" s="7">
        <f>IF(listing_areas!C80="","",listing_areas!C80)</f>
        <v/>
      </c>
      <c r="D121" s="7">
        <f>IF(listing_areas!D80="","",listing_areas!D80)</f>
        <v/>
      </c>
      <c r="E121" s="7">
        <f>IF(listing_areas!E80="","",listing_areas!E80)</f>
        <v/>
      </c>
      <c r="F121" s="9">
        <f>IF(listing_areas!F80="","",listing_areas!F80)</f>
        <v/>
      </c>
      <c r="G121" s="13">
        <f>IF(listing_areas!G80="","",listing_areas!G80)</f>
        <v/>
      </c>
      <c r="H121" s="13">
        <f>IF(listing_areas!H80="","",listing_areas!H80)</f>
        <v/>
      </c>
      <c r="I121">
        <f>IF(listing_areas!I80="","",listing_areas!I80)</f>
        <v/>
      </c>
      <c r="U121">
        <f>IF(listing_areas!C118&lt;&gt;"",listing_areas!C118,NA())</f>
        <v/>
      </c>
      <c r="V121">
        <f>IF(listing_areas!C118&lt;&gt;"",listing_areas!D118,NA())</f>
        <v/>
      </c>
    </row>
    <row r="122">
      <c r="A122">
        <f>IF(listing_areas!A81="","",listing_areas!A81)</f>
        <v/>
      </c>
      <c r="B122">
        <f>IF(listing_areas!B81="","",listing_areas!B81)</f>
        <v/>
      </c>
      <c r="C122" s="7">
        <f>IF(listing_areas!C81="","",listing_areas!C81)</f>
        <v/>
      </c>
      <c r="D122" s="7">
        <f>IF(listing_areas!D81="","",listing_areas!D81)</f>
        <v/>
      </c>
      <c r="E122" s="7">
        <f>IF(listing_areas!E81="","",listing_areas!E81)</f>
        <v/>
      </c>
      <c r="F122" s="9">
        <f>IF(listing_areas!F81="","",listing_areas!F81)</f>
        <v/>
      </c>
      <c r="G122" s="13">
        <f>IF(listing_areas!G81="","",listing_areas!G81)</f>
        <v/>
      </c>
      <c r="H122" s="13">
        <f>IF(listing_areas!H81="","",listing_areas!H81)</f>
        <v/>
      </c>
      <c r="I122">
        <f>IF(listing_areas!I81="","",listing_areas!I81)</f>
        <v/>
      </c>
      <c r="U122">
        <f>IF(listing_areas!C119&lt;&gt;"",listing_areas!C119,NA())</f>
        <v/>
      </c>
      <c r="V122">
        <f>IF(listing_areas!C119&lt;&gt;"",listing_areas!D119,NA())</f>
        <v/>
      </c>
    </row>
    <row r="123">
      <c r="A123">
        <f>IF(listing_areas!A82="","",listing_areas!A82)</f>
        <v/>
      </c>
      <c r="B123">
        <f>IF(listing_areas!B82="","",listing_areas!B82)</f>
        <v/>
      </c>
      <c r="C123" s="7">
        <f>IF(listing_areas!C82="","",listing_areas!C82)</f>
        <v/>
      </c>
      <c r="D123" s="7">
        <f>IF(listing_areas!D82="","",listing_areas!D82)</f>
        <v/>
      </c>
      <c r="E123" s="7">
        <f>IF(listing_areas!E82="","",listing_areas!E82)</f>
        <v/>
      </c>
      <c r="F123" s="9">
        <f>IF(listing_areas!F82="","",listing_areas!F82)</f>
        <v/>
      </c>
      <c r="G123" s="13">
        <f>IF(listing_areas!G82="","",listing_areas!G82)</f>
        <v/>
      </c>
      <c r="H123" s="13">
        <f>IF(listing_areas!H82="","",listing_areas!H82)</f>
        <v/>
      </c>
      <c r="I123">
        <f>IF(listing_areas!I82="","",listing_areas!I82)</f>
        <v/>
      </c>
      <c r="U123">
        <f>IF(listing_areas!C120&lt;&gt;"",listing_areas!C120,NA())</f>
        <v/>
      </c>
      <c r="V123">
        <f>IF(listing_areas!C120&lt;&gt;"",listing_areas!D120,NA())</f>
        <v/>
      </c>
    </row>
    <row r="124">
      <c r="A124">
        <f>IF(listing_areas!A83="","",listing_areas!A83)</f>
        <v/>
      </c>
      <c r="B124">
        <f>IF(listing_areas!B83="","",listing_areas!B83)</f>
        <v/>
      </c>
      <c r="C124" s="7">
        <f>IF(listing_areas!C83="","",listing_areas!C83)</f>
        <v/>
      </c>
      <c r="D124" s="7">
        <f>IF(listing_areas!D83="","",listing_areas!D83)</f>
        <v/>
      </c>
      <c r="E124" s="7">
        <f>IF(listing_areas!E83="","",listing_areas!E83)</f>
        <v/>
      </c>
      <c r="F124" s="9">
        <f>IF(listing_areas!F83="","",listing_areas!F83)</f>
        <v/>
      </c>
      <c r="G124" s="13">
        <f>IF(listing_areas!G83="","",listing_areas!G83)</f>
        <v/>
      </c>
      <c r="H124" s="13">
        <f>IF(listing_areas!H83="","",listing_areas!H83)</f>
        <v/>
      </c>
      <c r="I124">
        <f>IF(listing_areas!I83="","",listing_areas!I83)</f>
        <v/>
      </c>
      <c r="U124">
        <f>IF(listing_areas!C121&lt;&gt;"",listing_areas!C121,NA())</f>
        <v/>
      </c>
      <c r="V124">
        <f>IF(listing_areas!C121&lt;&gt;"",listing_areas!D121,NA())</f>
        <v/>
      </c>
    </row>
    <row r="125">
      <c r="A125">
        <f>IF(listing_areas!A84="","",listing_areas!A84)</f>
        <v/>
      </c>
      <c r="B125">
        <f>IF(listing_areas!B84="","",listing_areas!B84)</f>
        <v/>
      </c>
      <c r="C125" s="7">
        <f>IF(listing_areas!C84="","",listing_areas!C84)</f>
        <v/>
      </c>
      <c r="D125" s="7">
        <f>IF(listing_areas!D84="","",listing_areas!D84)</f>
        <v/>
      </c>
      <c r="E125" s="7">
        <f>IF(listing_areas!E84="","",listing_areas!E84)</f>
        <v/>
      </c>
      <c r="F125" s="9">
        <f>IF(listing_areas!F84="","",listing_areas!F84)</f>
        <v/>
      </c>
      <c r="G125" s="13">
        <f>IF(listing_areas!G84="","",listing_areas!G84)</f>
        <v/>
      </c>
      <c r="H125" s="13">
        <f>IF(listing_areas!H84="","",listing_areas!H84)</f>
        <v/>
      </c>
      <c r="I125">
        <f>IF(listing_areas!I84="","",listing_areas!I84)</f>
        <v/>
      </c>
      <c r="U125">
        <f>IF(listing_areas!C122&lt;&gt;"",listing_areas!C122,NA())</f>
        <v/>
      </c>
      <c r="V125">
        <f>IF(listing_areas!C122&lt;&gt;"",listing_areas!D122,NA())</f>
        <v/>
      </c>
    </row>
    <row r="126">
      <c r="A126">
        <f>IF(listing_areas!A85="","",listing_areas!A85)</f>
        <v/>
      </c>
      <c r="B126">
        <f>IF(listing_areas!B85="","",listing_areas!B85)</f>
        <v/>
      </c>
      <c r="C126" s="7">
        <f>IF(listing_areas!C85="","",listing_areas!C85)</f>
        <v/>
      </c>
      <c r="D126" s="7">
        <f>IF(listing_areas!D85="","",listing_areas!D85)</f>
        <v/>
      </c>
      <c r="E126" s="7">
        <f>IF(listing_areas!E85="","",listing_areas!E85)</f>
        <v/>
      </c>
      <c r="F126" s="9">
        <f>IF(listing_areas!F85="","",listing_areas!F85)</f>
        <v/>
      </c>
      <c r="G126" s="13">
        <f>IF(listing_areas!G85="","",listing_areas!G85)</f>
        <v/>
      </c>
      <c r="H126" s="13">
        <f>IF(listing_areas!H85="","",listing_areas!H85)</f>
        <v/>
      </c>
      <c r="I126">
        <f>IF(listing_areas!I85="","",listing_areas!I85)</f>
        <v/>
      </c>
      <c r="U126">
        <f>IF(listing_areas!C123&lt;&gt;"",listing_areas!C123,NA())</f>
        <v/>
      </c>
      <c r="V126">
        <f>IF(listing_areas!C123&lt;&gt;"",listing_areas!D123,NA())</f>
        <v/>
      </c>
    </row>
    <row r="127">
      <c r="A127">
        <f>IF(listing_areas!A86="","",listing_areas!A86)</f>
        <v/>
      </c>
      <c r="B127">
        <f>IF(listing_areas!B86="","",listing_areas!B86)</f>
        <v/>
      </c>
      <c r="C127" s="7">
        <f>IF(listing_areas!C86="","",listing_areas!C86)</f>
        <v/>
      </c>
      <c r="D127" s="7">
        <f>IF(listing_areas!D86="","",listing_areas!D86)</f>
        <v/>
      </c>
      <c r="E127" s="7">
        <f>IF(listing_areas!E86="","",listing_areas!E86)</f>
        <v/>
      </c>
      <c r="F127" s="9">
        <f>IF(listing_areas!F86="","",listing_areas!F86)</f>
        <v/>
      </c>
      <c r="G127" s="13">
        <f>IF(listing_areas!G86="","",listing_areas!G86)</f>
        <v/>
      </c>
      <c r="H127" s="13">
        <f>IF(listing_areas!H86="","",listing_areas!H86)</f>
        <v/>
      </c>
      <c r="I127">
        <f>IF(listing_areas!I86="","",listing_areas!I86)</f>
        <v/>
      </c>
      <c r="U127">
        <f>IF(listing_areas!C124&lt;&gt;"",listing_areas!C124,NA())</f>
        <v/>
      </c>
      <c r="V127">
        <f>IF(listing_areas!C124&lt;&gt;"",listing_areas!D124,NA())</f>
        <v/>
      </c>
    </row>
    <row r="128">
      <c r="A128">
        <f>IF(listing_areas!A87="","",listing_areas!A87)</f>
        <v/>
      </c>
      <c r="B128">
        <f>IF(listing_areas!B87="","",listing_areas!B87)</f>
        <v/>
      </c>
      <c r="C128" s="7">
        <f>IF(listing_areas!C87="","",listing_areas!C87)</f>
        <v/>
      </c>
      <c r="D128" s="7">
        <f>IF(listing_areas!D87="","",listing_areas!D87)</f>
        <v/>
      </c>
      <c r="E128" s="7">
        <f>IF(listing_areas!E87="","",listing_areas!E87)</f>
        <v/>
      </c>
      <c r="F128" s="9">
        <f>IF(listing_areas!F87="","",listing_areas!F87)</f>
        <v/>
      </c>
      <c r="G128" s="13">
        <f>IF(listing_areas!G87="","",listing_areas!G87)</f>
        <v/>
      </c>
      <c r="H128" s="13">
        <f>IF(listing_areas!H87="","",listing_areas!H87)</f>
        <v/>
      </c>
      <c r="I128">
        <f>IF(listing_areas!I87="","",listing_areas!I87)</f>
        <v/>
      </c>
      <c r="U128">
        <f>IF(listing_areas!C125&lt;&gt;"",listing_areas!C125,NA())</f>
        <v/>
      </c>
      <c r="V128">
        <f>IF(listing_areas!C125&lt;&gt;"",listing_areas!D125,NA())</f>
        <v/>
      </c>
    </row>
    <row r="129">
      <c r="A129">
        <f>IF(listing_areas!A88="","",listing_areas!A88)</f>
        <v/>
      </c>
      <c r="B129">
        <f>IF(listing_areas!B88="","",listing_areas!B88)</f>
        <v/>
      </c>
      <c r="C129" s="7">
        <f>IF(listing_areas!C88="","",listing_areas!C88)</f>
        <v/>
      </c>
      <c r="D129" s="7">
        <f>IF(listing_areas!D88="","",listing_areas!D88)</f>
        <v/>
      </c>
      <c r="E129" s="7">
        <f>IF(listing_areas!E88="","",listing_areas!E88)</f>
        <v/>
      </c>
      <c r="F129" s="9">
        <f>IF(listing_areas!F88="","",listing_areas!F88)</f>
        <v/>
      </c>
      <c r="G129" s="13">
        <f>IF(listing_areas!G88="","",listing_areas!G88)</f>
        <v/>
      </c>
      <c r="H129" s="13">
        <f>IF(listing_areas!H88="","",listing_areas!H88)</f>
        <v/>
      </c>
      <c r="I129">
        <f>IF(listing_areas!I88="","",listing_areas!I88)</f>
        <v/>
      </c>
      <c r="U129">
        <f>IF(listing_areas!C126&lt;&gt;"",listing_areas!C126,NA())</f>
        <v/>
      </c>
      <c r="V129">
        <f>IF(listing_areas!C126&lt;&gt;"",listing_areas!D126,NA())</f>
        <v/>
      </c>
    </row>
    <row r="130">
      <c r="A130">
        <f>IF(listing_areas!A89="","",listing_areas!A89)</f>
        <v/>
      </c>
      <c r="B130">
        <f>IF(listing_areas!B89="","",listing_areas!B89)</f>
        <v/>
      </c>
      <c r="C130" s="7">
        <f>IF(listing_areas!C89="","",listing_areas!C89)</f>
        <v/>
      </c>
      <c r="D130" s="7">
        <f>IF(listing_areas!D89="","",listing_areas!D89)</f>
        <v/>
      </c>
      <c r="E130" s="7">
        <f>IF(listing_areas!E89="","",listing_areas!E89)</f>
        <v/>
      </c>
      <c r="F130" s="9">
        <f>IF(listing_areas!F89="","",listing_areas!F89)</f>
        <v/>
      </c>
      <c r="G130" s="13">
        <f>IF(listing_areas!G89="","",listing_areas!G89)</f>
        <v/>
      </c>
      <c r="H130" s="13">
        <f>IF(listing_areas!H89="","",listing_areas!H89)</f>
        <v/>
      </c>
      <c r="I130">
        <f>IF(listing_areas!I89="","",listing_areas!I89)</f>
        <v/>
      </c>
      <c r="U130">
        <f>IF(listing_areas!C127&lt;&gt;"",listing_areas!C127,NA())</f>
        <v/>
      </c>
      <c r="V130">
        <f>IF(listing_areas!C127&lt;&gt;"",listing_areas!D127,NA())</f>
        <v/>
      </c>
    </row>
    <row r="131">
      <c r="A131">
        <f>IF(listing_areas!A90="","",listing_areas!A90)</f>
        <v/>
      </c>
      <c r="B131">
        <f>IF(listing_areas!B90="","",listing_areas!B90)</f>
        <v/>
      </c>
      <c r="C131" s="7">
        <f>IF(listing_areas!C90="","",listing_areas!C90)</f>
        <v/>
      </c>
      <c r="D131" s="7">
        <f>IF(listing_areas!D90="","",listing_areas!D90)</f>
        <v/>
      </c>
      <c r="E131" s="7">
        <f>IF(listing_areas!E90="","",listing_areas!E90)</f>
        <v/>
      </c>
      <c r="F131" s="9">
        <f>IF(listing_areas!F90="","",listing_areas!F90)</f>
        <v/>
      </c>
      <c r="G131" s="13">
        <f>IF(listing_areas!G90="","",listing_areas!G90)</f>
        <v/>
      </c>
      <c r="H131" s="13">
        <f>IF(listing_areas!H90="","",listing_areas!H90)</f>
        <v/>
      </c>
      <c r="I131">
        <f>IF(listing_areas!I90="","",listing_areas!I90)</f>
        <v/>
      </c>
      <c r="U131">
        <f>IF(listing_areas!C128&lt;&gt;"",listing_areas!C128,NA())</f>
        <v/>
      </c>
      <c r="V131">
        <f>IF(listing_areas!C128&lt;&gt;"",listing_areas!D128,NA())</f>
        <v/>
      </c>
    </row>
    <row r="132">
      <c r="A132">
        <f>IF(listing_areas!A91="","",listing_areas!A91)</f>
        <v/>
      </c>
      <c r="B132">
        <f>IF(listing_areas!B91="","",listing_areas!B91)</f>
        <v/>
      </c>
      <c r="C132" s="7">
        <f>IF(listing_areas!C91="","",listing_areas!C91)</f>
        <v/>
      </c>
      <c r="D132" s="7">
        <f>IF(listing_areas!D91="","",listing_areas!D91)</f>
        <v/>
      </c>
      <c r="E132" s="7">
        <f>IF(listing_areas!E91="","",listing_areas!E91)</f>
        <v/>
      </c>
      <c r="F132" s="9">
        <f>IF(listing_areas!F91="","",listing_areas!F91)</f>
        <v/>
      </c>
      <c r="G132" s="13">
        <f>IF(listing_areas!G91="","",listing_areas!G91)</f>
        <v/>
      </c>
      <c r="H132" s="13">
        <f>IF(listing_areas!H91="","",listing_areas!H91)</f>
        <v/>
      </c>
      <c r="I132">
        <f>IF(listing_areas!I91="","",listing_areas!I91)</f>
        <v/>
      </c>
      <c r="U132">
        <f>IF(listing_areas!C129&lt;&gt;"",listing_areas!C129,NA())</f>
        <v/>
      </c>
      <c r="V132">
        <f>IF(listing_areas!C129&lt;&gt;"",listing_areas!D129,NA())</f>
        <v/>
      </c>
    </row>
    <row r="133">
      <c r="A133">
        <f>IF(listing_areas!A92="","",listing_areas!A92)</f>
        <v/>
      </c>
      <c r="B133">
        <f>IF(listing_areas!B92="","",listing_areas!B92)</f>
        <v/>
      </c>
      <c r="C133" s="7">
        <f>IF(listing_areas!C92="","",listing_areas!C92)</f>
        <v/>
      </c>
      <c r="D133" s="7">
        <f>IF(listing_areas!D92="","",listing_areas!D92)</f>
        <v/>
      </c>
      <c r="E133" s="7">
        <f>IF(listing_areas!E92="","",listing_areas!E92)</f>
        <v/>
      </c>
      <c r="F133" s="9">
        <f>IF(listing_areas!F92="","",listing_areas!F92)</f>
        <v/>
      </c>
      <c r="G133" s="13">
        <f>IF(listing_areas!G92="","",listing_areas!G92)</f>
        <v/>
      </c>
      <c r="H133" s="13">
        <f>IF(listing_areas!H92="","",listing_areas!H92)</f>
        <v/>
      </c>
      <c r="I133">
        <f>IF(listing_areas!I92="","",listing_areas!I92)</f>
        <v/>
      </c>
      <c r="U133">
        <f>IF(listing_areas!C130&lt;&gt;"",listing_areas!C130,NA())</f>
        <v/>
      </c>
      <c r="V133">
        <f>IF(listing_areas!C130&lt;&gt;"",listing_areas!D130,NA())</f>
        <v/>
      </c>
    </row>
    <row r="134">
      <c r="A134">
        <f>IF(listing_areas!A93="","",listing_areas!A93)</f>
        <v/>
      </c>
      <c r="B134">
        <f>IF(listing_areas!B93="","",listing_areas!B93)</f>
        <v/>
      </c>
      <c r="C134" s="7">
        <f>IF(listing_areas!C93="","",listing_areas!C93)</f>
        <v/>
      </c>
      <c r="D134" s="7">
        <f>IF(listing_areas!D93="","",listing_areas!D93)</f>
        <v/>
      </c>
      <c r="E134" s="7">
        <f>IF(listing_areas!E93="","",listing_areas!E93)</f>
        <v/>
      </c>
      <c r="F134" s="9">
        <f>IF(listing_areas!F93="","",listing_areas!F93)</f>
        <v/>
      </c>
      <c r="G134" s="13">
        <f>IF(listing_areas!G93="","",listing_areas!G93)</f>
        <v/>
      </c>
      <c r="H134" s="13">
        <f>IF(listing_areas!H93="","",listing_areas!H93)</f>
        <v/>
      </c>
      <c r="I134">
        <f>IF(listing_areas!I93="","",listing_areas!I93)</f>
        <v/>
      </c>
      <c r="U134">
        <f>IF(listing_areas!C131&lt;&gt;"",listing_areas!C131,NA())</f>
        <v/>
      </c>
      <c r="V134">
        <f>IF(listing_areas!C131&lt;&gt;"",listing_areas!D131,NA())</f>
        <v/>
      </c>
    </row>
    <row r="135">
      <c r="A135">
        <f>IF(listing_areas!A94="","",listing_areas!A94)</f>
        <v/>
      </c>
      <c r="B135">
        <f>IF(listing_areas!B94="","",listing_areas!B94)</f>
        <v/>
      </c>
      <c r="C135" s="7">
        <f>IF(listing_areas!C94="","",listing_areas!C94)</f>
        <v/>
      </c>
      <c r="D135" s="7">
        <f>IF(listing_areas!D94="","",listing_areas!D94)</f>
        <v/>
      </c>
      <c r="E135" s="7">
        <f>IF(listing_areas!E94="","",listing_areas!E94)</f>
        <v/>
      </c>
      <c r="F135" s="9">
        <f>IF(listing_areas!F94="","",listing_areas!F94)</f>
        <v/>
      </c>
      <c r="G135" s="13">
        <f>IF(listing_areas!G94="","",listing_areas!G94)</f>
        <v/>
      </c>
      <c r="H135" s="13">
        <f>IF(listing_areas!H94="","",listing_areas!H94)</f>
        <v/>
      </c>
      <c r="I135">
        <f>IF(listing_areas!I94="","",listing_areas!I94)</f>
        <v/>
      </c>
      <c r="U135">
        <f>IF(listing_areas!C132&lt;&gt;"",listing_areas!C132,NA())</f>
        <v/>
      </c>
      <c r="V135">
        <f>IF(listing_areas!C132&lt;&gt;"",listing_areas!D132,NA())</f>
        <v/>
      </c>
    </row>
    <row r="136">
      <c r="A136">
        <f>IF(listing_areas!A95="","",listing_areas!A95)</f>
        <v/>
      </c>
      <c r="B136">
        <f>IF(listing_areas!B95="","",listing_areas!B95)</f>
        <v/>
      </c>
      <c r="C136" s="7">
        <f>IF(listing_areas!C95="","",listing_areas!C95)</f>
        <v/>
      </c>
      <c r="D136" s="7">
        <f>IF(listing_areas!D95="","",listing_areas!D95)</f>
        <v/>
      </c>
      <c r="E136" s="7">
        <f>IF(listing_areas!E95="","",listing_areas!E95)</f>
        <v/>
      </c>
      <c r="F136" s="9">
        <f>IF(listing_areas!F95="","",listing_areas!F95)</f>
        <v/>
      </c>
      <c r="G136" s="13">
        <f>IF(listing_areas!G95="","",listing_areas!G95)</f>
        <v/>
      </c>
      <c r="H136" s="13">
        <f>IF(listing_areas!H95="","",listing_areas!H95)</f>
        <v/>
      </c>
      <c r="I136">
        <f>IF(listing_areas!I95="","",listing_areas!I95)</f>
        <v/>
      </c>
      <c r="U136">
        <f>IF(listing_areas!C133&lt;&gt;"",listing_areas!C133,NA())</f>
        <v/>
      </c>
      <c r="V136">
        <f>IF(listing_areas!C133&lt;&gt;"",listing_areas!D133,NA())</f>
        <v/>
      </c>
    </row>
    <row r="137">
      <c r="A137">
        <f>IF(listing_areas!A96="","",listing_areas!A96)</f>
        <v/>
      </c>
      <c r="B137">
        <f>IF(listing_areas!B96="","",listing_areas!B96)</f>
        <v/>
      </c>
      <c r="C137" s="7">
        <f>IF(listing_areas!C96="","",listing_areas!C96)</f>
        <v/>
      </c>
      <c r="D137" s="7">
        <f>IF(listing_areas!D96="","",listing_areas!D96)</f>
        <v/>
      </c>
      <c r="E137" s="7">
        <f>IF(listing_areas!E96="","",listing_areas!E96)</f>
        <v/>
      </c>
      <c r="F137" s="9">
        <f>IF(listing_areas!F96="","",listing_areas!F96)</f>
        <v/>
      </c>
      <c r="G137" s="13">
        <f>IF(listing_areas!G96="","",listing_areas!G96)</f>
        <v/>
      </c>
      <c r="H137" s="13">
        <f>IF(listing_areas!H96="","",listing_areas!H96)</f>
        <v/>
      </c>
      <c r="I137">
        <f>IF(listing_areas!I96="","",listing_areas!I96)</f>
        <v/>
      </c>
      <c r="U137">
        <f>IF(listing_areas!C134&lt;&gt;"",listing_areas!C134,NA())</f>
        <v/>
      </c>
      <c r="V137">
        <f>IF(listing_areas!C134&lt;&gt;"",listing_areas!D134,NA())</f>
        <v/>
      </c>
    </row>
    <row r="138">
      <c r="A138">
        <f>IF(listing_areas!A97="","",listing_areas!A97)</f>
        <v/>
      </c>
      <c r="B138">
        <f>IF(listing_areas!B97="","",listing_areas!B97)</f>
        <v/>
      </c>
      <c r="C138" s="7">
        <f>IF(listing_areas!C97="","",listing_areas!C97)</f>
        <v/>
      </c>
      <c r="D138" s="7">
        <f>IF(listing_areas!D97="","",listing_areas!D97)</f>
        <v/>
      </c>
      <c r="E138" s="7">
        <f>IF(listing_areas!E97="","",listing_areas!E97)</f>
        <v/>
      </c>
      <c r="F138" s="9">
        <f>IF(listing_areas!F97="","",listing_areas!F97)</f>
        <v/>
      </c>
      <c r="G138" s="13">
        <f>IF(listing_areas!G97="","",listing_areas!G97)</f>
        <v/>
      </c>
      <c r="H138" s="13">
        <f>IF(listing_areas!H97="","",listing_areas!H97)</f>
        <v/>
      </c>
      <c r="I138">
        <f>IF(listing_areas!I97="","",listing_areas!I97)</f>
        <v/>
      </c>
      <c r="U138">
        <f>IF(listing_areas!C135&lt;&gt;"",listing_areas!C135,NA())</f>
        <v/>
      </c>
      <c r="V138">
        <f>IF(listing_areas!C135&lt;&gt;"",listing_areas!D135,NA())</f>
        <v/>
      </c>
    </row>
    <row r="139">
      <c r="A139">
        <f>IF(listing_areas!A98="","",listing_areas!A98)</f>
        <v/>
      </c>
      <c r="B139">
        <f>IF(listing_areas!B98="","",listing_areas!B98)</f>
        <v/>
      </c>
      <c r="C139" s="7">
        <f>IF(listing_areas!C98="","",listing_areas!C98)</f>
        <v/>
      </c>
      <c r="D139" s="7">
        <f>IF(listing_areas!D98="","",listing_areas!D98)</f>
        <v/>
      </c>
      <c r="E139" s="7">
        <f>IF(listing_areas!E98="","",listing_areas!E98)</f>
        <v/>
      </c>
      <c r="F139" s="9">
        <f>IF(listing_areas!F98="","",listing_areas!F98)</f>
        <v/>
      </c>
      <c r="G139" s="13">
        <f>IF(listing_areas!G98="","",listing_areas!G98)</f>
        <v/>
      </c>
      <c r="H139" s="13">
        <f>IF(listing_areas!H98="","",listing_areas!H98)</f>
        <v/>
      </c>
      <c r="I139">
        <f>IF(listing_areas!I98="","",listing_areas!I98)</f>
        <v/>
      </c>
      <c r="U139">
        <f>IF(listing_areas!C136&lt;&gt;"",listing_areas!C136,NA())</f>
        <v/>
      </c>
      <c r="V139">
        <f>IF(listing_areas!C136&lt;&gt;"",listing_areas!D136,NA())</f>
        <v/>
      </c>
    </row>
    <row r="140">
      <c r="A140">
        <f>IF(listing_areas!A99="","",listing_areas!A99)</f>
        <v/>
      </c>
      <c r="B140">
        <f>IF(listing_areas!B99="","",listing_areas!B99)</f>
        <v/>
      </c>
      <c r="C140" s="7">
        <f>IF(listing_areas!C99="","",listing_areas!C99)</f>
        <v/>
      </c>
      <c r="D140" s="7">
        <f>IF(listing_areas!D99="","",listing_areas!D99)</f>
        <v/>
      </c>
      <c r="E140" s="7">
        <f>IF(listing_areas!E99="","",listing_areas!E99)</f>
        <v/>
      </c>
      <c r="F140" s="9">
        <f>IF(listing_areas!F99="","",listing_areas!F99)</f>
        <v/>
      </c>
      <c r="G140" s="13">
        <f>IF(listing_areas!G99="","",listing_areas!G99)</f>
        <v/>
      </c>
      <c r="H140" s="13">
        <f>IF(listing_areas!H99="","",listing_areas!H99)</f>
        <v/>
      </c>
      <c r="I140">
        <f>IF(listing_areas!I99="","",listing_areas!I99)</f>
        <v/>
      </c>
      <c r="U140">
        <f>IF(listing_areas!C137&lt;&gt;"",listing_areas!C137,NA())</f>
        <v/>
      </c>
      <c r="V140">
        <f>IF(listing_areas!C137&lt;&gt;"",listing_areas!D137,NA())</f>
        <v/>
      </c>
    </row>
    <row r="141">
      <c r="A141">
        <f>IF(listing_areas!A100="","",listing_areas!A100)</f>
        <v/>
      </c>
      <c r="B141">
        <f>IF(listing_areas!B100="","",listing_areas!B100)</f>
        <v/>
      </c>
      <c r="C141" s="7">
        <f>IF(listing_areas!C100="","",listing_areas!C100)</f>
        <v/>
      </c>
      <c r="D141" s="7">
        <f>IF(listing_areas!D100="","",listing_areas!D100)</f>
        <v/>
      </c>
      <c r="E141" s="7">
        <f>IF(listing_areas!E100="","",listing_areas!E100)</f>
        <v/>
      </c>
      <c r="F141" s="9">
        <f>IF(listing_areas!F100="","",listing_areas!F100)</f>
        <v/>
      </c>
      <c r="G141" s="13">
        <f>IF(listing_areas!G100="","",listing_areas!G100)</f>
        <v/>
      </c>
      <c r="H141" s="13">
        <f>IF(listing_areas!H100="","",listing_areas!H100)</f>
        <v/>
      </c>
      <c r="I141">
        <f>IF(listing_areas!I100="","",listing_areas!I100)</f>
        <v/>
      </c>
      <c r="U141">
        <f>IF(listing_areas!C138&lt;&gt;"",listing_areas!C138,NA())</f>
        <v/>
      </c>
      <c r="V141">
        <f>IF(listing_areas!C138&lt;&gt;"",listing_areas!D138,NA())</f>
        <v/>
      </c>
    </row>
    <row r="142">
      <c r="A142">
        <f>IF(listing_areas!A101="","",listing_areas!A101)</f>
        <v/>
      </c>
      <c r="B142">
        <f>IF(listing_areas!B101="","",listing_areas!B101)</f>
        <v/>
      </c>
      <c r="C142" s="7">
        <f>IF(listing_areas!C101="","",listing_areas!C101)</f>
        <v/>
      </c>
      <c r="D142" s="7">
        <f>IF(listing_areas!D101="","",listing_areas!D101)</f>
        <v/>
      </c>
      <c r="E142" s="7">
        <f>IF(listing_areas!E101="","",listing_areas!E101)</f>
        <v/>
      </c>
      <c r="F142" s="9">
        <f>IF(listing_areas!F101="","",listing_areas!F101)</f>
        <v/>
      </c>
      <c r="G142" s="13">
        <f>IF(listing_areas!G101="","",listing_areas!G101)</f>
        <v/>
      </c>
      <c r="H142" s="13">
        <f>IF(listing_areas!H101="","",listing_areas!H101)</f>
        <v/>
      </c>
      <c r="I142">
        <f>IF(listing_areas!I101="","",listing_areas!I101)</f>
        <v/>
      </c>
      <c r="U142">
        <f>IF(listing_areas!C139&lt;&gt;"",listing_areas!C139,NA())</f>
        <v/>
      </c>
      <c r="V142">
        <f>IF(listing_areas!C139&lt;&gt;"",listing_areas!D139,NA())</f>
        <v/>
      </c>
    </row>
    <row r="143">
      <c r="U143">
        <f>IF(listing_areas!C140&lt;&gt;"",listing_areas!C140,NA())</f>
        <v/>
      </c>
      <c r="V143">
        <f>IF(listing_areas!C140&lt;&gt;"",listing_areas!D140,NA())</f>
        <v/>
      </c>
    </row>
    <row r="144">
      <c r="U144">
        <f>IF(listing_areas!C141&lt;&gt;"",listing_areas!C141,NA())</f>
        <v/>
      </c>
      <c r="V144">
        <f>IF(listing_areas!C141&lt;&gt;"",listing_areas!D141,NA())</f>
        <v/>
      </c>
    </row>
    <row r="145">
      <c r="U145">
        <f>IF(listing_areas!C142&lt;&gt;"",listing_areas!C142,NA())</f>
        <v/>
      </c>
      <c r="V145">
        <f>IF(listing_areas!C142&lt;&gt;"",listing_areas!D142,NA())</f>
        <v/>
      </c>
    </row>
    <row r="146">
      <c r="U146">
        <f>IF(listing_areas!C143&lt;&gt;"",listing_areas!C143,NA())</f>
        <v/>
      </c>
      <c r="V146">
        <f>IF(listing_areas!C143&lt;&gt;"",listing_areas!D143,NA())</f>
        <v/>
      </c>
    </row>
    <row r="147">
      <c r="U147">
        <f>IF(listing_areas!C144&lt;&gt;"",listing_areas!C144,NA())</f>
        <v/>
      </c>
      <c r="V147">
        <f>IF(listing_areas!C144&lt;&gt;"",listing_areas!D144,NA())</f>
        <v/>
      </c>
    </row>
    <row r="148">
      <c r="U148">
        <f>IF(listing_areas!C145&lt;&gt;"",listing_areas!C145,NA())</f>
        <v/>
      </c>
      <c r="V148">
        <f>IF(listing_areas!C145&lt;&gt;"",listing_areas!D145,NA())</f>
        <v/>
      </c>
    </row>
    <row r="149">
      <c r="U149">
        <f>IF(listing_areas!C146&lt;&gt;"",listing_areas!C146,NA())</f>
        <v/>
      </c>
      <c r="V149">
        <f>IF(listing_areas!C146&lt;&gt;"",listing_areas!D146,NA())</f>
        <v/>
      </c>
    </row>
    <row r="150">
      <c r="U150">
        <f>IF(listing_areas!C147&lt;&gt;"",listing_areas!C147,NA())</f>
        <v/>
      </c>
      <c r="V150">
        <f>IF(listing_areas!C147&lt;&gt;"",listing_areas!D147,NA())</f>
        <v/>
      </c>
    </row>
    <row r="151">
      <c r="U151">
        <f>IF(listing_areas!C148&lt;&gt;"",listing_areas!C148,NA())</f>
        <v/>
      </c>
      <c r="V151">
        <f>IF(listing_areas!C148&lt;&gt;"",listing_areas!D148,NA())</f>
        <v/>
      </c>
    </row>
    <row r="152">
      <c r="U152">
        <f>IF(listing_areas!C149&lt;&gt;"",listing_areas!C149,NA())</f>
        <v/>
      </c>
      <c r="V152">
        <f>IF(listing_areas!C149&lt;&gt;"",listing_areas!D149,NA())</f>
        <v/>
      </c>
    </row>
    <row r="153">
      <c r="U153">
        <f>IF(listing_areas!C150&lt;&gt;"",listing_areas!C150,NA())</f>
        <v/>
      </c>
      <c r="V153">
        <f>IF(listing_areas!C150&lt;&gt;"",listing_areas!D150,NA())</f>
        <v/>
      </c>
    </row>
    <row r="154">
      <c r="U154">
        <f>IF(listing_areas!C151&lt;&gt;"",listing_areas!C151,NA())</f>
        <v/>
      </c>
      <c r="V154">
        <f>IF(listing_areas!C151&lt;&gt;"",listing_areas!D151,NA())</f>
        <v/>
      </c>
    </row>
    <row r="155">
      <c r="U155">
        <f>IF(listing_areas!C152&lt;&gt;"",listing_areas!C152,NA())</f>
        <v/>
      </c>
      <c r="V155">
        <f>IF(listing_areas!C152&lt;&gt;"",listing_areas!D152,NA())</f>
        <v/>
      </c>
    </row>
    <row r="156">
      <c r="U156">
        <f>IF(listing_areas!C153&lt;&gt;"",listing_areas!C153,NA())</f>
        <v/>
      </c>
      <c r="V156">
        <f>IF(listing_areas!C153&lt;&gt;"",listing_areas!D153,NA())</f>
        <v/>
      </c>
    </row>
    <row r="157">
      <c r="U157">
        <f>IF(listing_areas!C154&lt;&gt;"",listing_areas!C154,NA())</f>
        <v/>
      </c>
      <c r="V157">
        <f>IF(listing_areas!C154&lt;&gt;"",listing_areas!D154,NA())</f>
        <v/>
      </c>
    </row>
    <row r="158">
      <c r="U158">
        <f>IF(listing_areas!C155&lt;&gt;"",listing_areas!C155,NA())</f>
        <v/>
      </c>
      <c r="V158">
        <f>IF(listing_areas!C155&lt;&gt;"",listing_areas!D155,NA())</f>
        <v/>
      </c>
    </row>
    <row r="159">
      <c r="U159">
        <f>IF(listing_areas!C156&lt;&gt;"",listing_areas!C156,NA())</f>
        <v/>
      </c>
      <c r="V159">
        <f>IF(listing_areas!C156&lt;&gt;"",listing_areas!D156,NA())</f>
        <v/>
      </c>
    </row>
    <row r="160">
      <c r="U160">
        <f>IF(listing_areas!C157&lt;&gt;"",listing_areas!C157,NA())</f>
        <v/>
      </c>
      <c r="V160">
        <f>IF(listing_areas!C157&lt;&gt;"",listing_areas!D157,NA())</f>
        <v/>
      </c>
    </row>
    <row r="161">
      <c r="U161">
        <f>IF(listing_areas!C158&lt;&gt;"",listing_areas!C158,NA())</f>
        <v/>
      </c>
      <c r="V161">
        <f>IF(listing_areas!C158&lt;&gt;"",listing_areas!D158,NA())</f>
        <v/>
      </c>
    </row>
    <row r="162">
      <c r="U162">
        <f>IF(listing_areas!C159&lt;&gt;"",listing_areas!C159,NA())</f>
        <v/>
      </c>
      <c r="V162">
        <f>IF(listing_areas!C159&lt;&gt;"",listing_areas!D159,NA())</f>
        <v/>
      </c>
    </row>
    <row r="163">
      <c r="U163">
        <f>IF(listing_areas!C160&lt;&gt;"",listing_areas!C160,NA())</f>
        <v/>
      </c>
      <c r="V163">
        <f>IF(listing_areas!C160&lt;&gt;"",listing_areas!D160,NA())</f>
        <v/>
      </c>
    </row>
    <row r="164">
      <c r="U164">
        <f>IF(listing_areas!C161&lt;&gt;"",listing_areas!C161,NA())</f>
        <v/>
      </c>
      <c r="V164">
        <f>IF(listing_areas!C161&lt;&gt;"",listing_areas!D161,NA())</f>
        <v/>
      </c>
    </row>
    <row r="165">
      <c r="U165">
        <f>IF(listing_areas!C162&lt;&gt;"",listing_areas!C162,NA())</f>
        <v/>
      </c>
      <c r="V165">
        <f>IF(listing_areas!C162&lt;&gt;"",listing_areas!D162,NA())</f>
        <v/>
      </c>
    </row>
    <row r="166">
      <c r="U166">
        <f>IF(listing_areas!C163&lt;&gt;"",listing_areas!C163,NA())</f>
        <v/>
      </c>
      <c r="V166">
        <f>IF(listing_areas!C163&lt;&gt;"",listing_areas!D163,NA())</f>
        <v/>
      </c>
    </row>
    <row r="167">
      <c r="U167">
        <f>IF(listing_areas!C164&lt;&gt;"",listing_areas!C164,NA())</f>
        <v/>
      </c>
      <c r="V167">
        <f>IF(listing_areas!C164&lt;&gt;"",listing_areas!D164,NA())</f>
        <v/>
      </c>
    </row>
    <row r="168">
      <c r="U168">
        <f>IF(listing_areas!C165&lt;&gt;"",listing_areas!C165,NA())</f>
        <v/>
      </c>
      <c r="V168">
        <f>IF(listing_areas!C165&lt;&gt;"",listing_areas!D165,NA())</f>
        <v/>
      </c>
    </row>
    <row r="169">
      <c r="U169">
        <f>IF(listing_areas!C166&lt;&gt;"",listing_areas!C166,NA())</f>
        <v/>
      </c>
      <c r="V169">
        <f>IF(listing_areas!C166&lt;&gt;"",listing_areas!D166,NA())</f>
        <v/>
      </c>
    </row>
    <row r="170">
      <c r="U170">
        <f>IF(listing_areas!C167&lt;&gt;"",listing_areas!C167,NA())</f>
        <v/>
      </c>
      <c r="V170">
        <f>IF(listing_areas!C167&lt;&gt;"",listing_areas!D167,NA())</f>
        <v/>
      </c>
    </row>
    <row r="171">
      <c r="U171">
        <f>IF(listing_areas!C168&lt;&gt;"",listing_areas!C168,NA())</f>
        <v/>
      </c>
      <c r="V171">
        <f>IF(listing_areas!C168&lt;&gt;"",listing_areas!D168,NA())</f>
        <v/>
      </c>
    </row>
    <row r="172">
      <c r="U172">
        <f>IF(listing_areas!C169&lt;&gt;"",listing_areas!C169,NA())</f>
        <v/>
      </c>
      <c r="V172">
        <f>IF(listing_areas!C169&lt;&gt;"",listing_areas!D169,NA())</f>
        <v/>
      </c>
    </row>
    <row r="173">
      <c r="U173">
        <f>IF(listing_areas!C170&lt;&gt;"",listing_areas!C170,NA())</f>
        <v/>
      </c>
      <c r="V173">
        <f>IF(listing_areas!C170&lt;&gt;"",listing_areas!D170,NA())</f>
        <v/>
      </c>
    </row>
    <row r="174">
      <c r="U174">
        <f>IF(listing_areas!C171&lt;&gt;"",listing_areas!C171,NA())</f>
        <v/>
      </c>
      <c r="V174">
        <f>IF(listing_areas!C171&lt;&gt;"",listing_areas!D171,NA())</f>
        <v/>
      </c>
    </row>
    <row r="175">
      <c r="U175">
        <f>IF(listing_areas!C172&lt;&gt;"",listing_areas!C172,NA())</f>
        <v/>
      </c>
      <c r="V175">
        <f>IF(listing_areas!C172&lt;&gt;"",listing_areas!D172,NA())</f>
        <v/>
      </c>
    </row>
    <row r="176">
      <c r="U176">
        <f>IF(listing_areas!C173&lt;&gt;"",listing_areas!C173,NA())</f>
        <v/>
      </c>
      <c r="V176">
        <f>IF(listing_areas!C173&lt;&gt;"",listing_areas!D173,NA())</f>
        <v/>
      </c>
    </row>
    <row r="177">
      <c r="U177">
        <f>IF(listing_areas!C174&lt;&gt;"",listing_areas!C174,NA())</f>
        <v/>
      </c>
      <c r="V177">
        <f>IF(listing_areas!C174&lt;&gt;"",listing_areas!D174,NA())</f>
        <v/>
      </c>
    </row>
    <row r="178">
      <c r="U178">
        <f>IF(listing_areas!C175&lt;&gt;"",listing_areas!C175,NA())</f>
        <v/>
      </c>
      <c r="V178">
        <f>IF(listing_areas!C175&lt;&gt;"",listing_areas!D175,NA())</f>
        <v/>
      </c>
    </row>
    <row r="179">
      <c r="U179">
        <f>IF(listing_areas!C176&lt;&gt;"",listing_areas!C176,NA())</f>
        <v/>
      </c>
      <c r="V179">
        <f>IF(listing_areas!C176&lt;&gt;"",listing_areas!D176,NA())</f>
        <v/>
      </c>
    </row>
    <row r="180">
      <c r="U180">
        <f>IF(listing_areas!C177&lt;&gt;"",listing_areas!C177,NA())</f>
        <v/>
      </c>
      <c r="V180">
        <f>IF(listing_areas!C177&lt;&gt;"",listing_areas!D177,NA())</f>
        <v/>
      </c>
    </row>
    <row r="181">
      <c r="U181">
        <f>IF(listing_areas!C178&lt;&gt;"",listing_areas!C178,NA())</f>
        <v/>
      </c>
      <c r="V181">
        <f>IF(listing_areas!C178&lt;&gt;"",listing_areas!D178,NA())</f>
        <v/>
      </c>
    </row>
    <row r="182">
      <c r="U182">
        <f>IF(listing_areas!C179&lt;&gt;"",listing_areas!C179,NA())</f>
        <v/>
      </c>
      <c r="V182">
        <f>IF(listing_areas!C179&lt;&gt;"",listing_areas!D179,NA())</f>
        <v/>
      </c>
    </row>
    <row r="183">
      <c r="U183">
        <f>IF(listing_areas!C180&lt;&gt;"",listing_areas!C180,NA())</f>
        <v/>
      </c>
      <c r="V183">
        <f>IF(listing_areas!C180&lt;&gt;"",listing_areas!D180,NA())</f>
        <v/>
      </c>
    </row>
    <row r="184">
      <c r="U184">
        <f>IF(listing_areas!C181&lt;&gt;"",listing_areas!C181,NA())</f>
        <v/>
      </c>
      <c r="V184">
        <f>IF(listing_areas!C181&lt;&gt;"",listing_areas!D181,NA())</f>
        <v/>
      </c>
    </row>
    <row r="185">
      <c r="U185">
        <f>IF(listing_areas!C182&lt;&gt;"",listing_areas!C182,NA())</f>
        <v/>
      </c>
      <c r="V185">
        <f>IF(listing_areas!C182&lt;&gt;"",listing_areas!D182,NA())</f>
        <v/>
      </c>
    </row>
    <row r="186">
      <c r="U186">
        <f>IF(listing_areas!C183&lt;&gt;"",listing_areas!C183,NA())</f>
        <v/>
      </c>
      <c r="V186">
        <f>IF(listing_areas!C183&lt;&gt;"",listing_areas!D183,NA())</f>
        <v/>
      </c>
    </row>
    <row r="187">
      <c r="U187">
        <f>IF(listing_areas!C184&lt;&gt;"",listing_areas!C184,NA())</f>
        <v/>
      </c>
      <c r="V187">
        <f>IF(listing_areas!C184&lt;&gt;"",listing_areas!D184,NA())</f>
        <v/>
      </c>
    </row>
    <row r="188">
      <c r="U188">
        <f>IF(listing_areas!C185&lt;&gt;"",listing_areas!C185,NA())</f>
        <v/>
      </c>
      <c r="V188">
        <f>IF(listing_areas!C185&lt;&gt;"",listing_areas!D185,NA())</f>
        <v/>
      </c>
    </row>
    <row r="189">
      <c r="U189">
        <f>IF(listing_areas!C186&lt;&gt;"",listing_areas!C186,NA())</f>
        <v/>
      </c>
      <c r="V189">
        <f>IF(listing_areas!C186&lt;&gt;"",listing_areas!D186,NA())</f>
        <v/>
      </c>
    </row>
    <row r="190">
      <c r="U190">
        <f>IF(listing_areas!C187&lt;&gt;"",listing_areas!C187,NA())</f>
        <v/>
      </c>
      <c r="V190">
        <f>IF(listing_areas!C187&lt;&gt;"",listing_areas!D187,NA())</f>
        <v/>
      </c>
    </row>
    <row r="191">
      <c r="U191">
        <f>IF(listing_areas!C188&lt;&gt;"",listing_areas!C188,NA())</f>
        <v/>
      </c>
      <c r="V191">
        <f>IF(listing_areas!C188&lt;&gt;"",listing_areas!D188,NA())</f>
        <v/>
      </c>
    </row>
    <row r="192">
      <c r="U192">
        <f>IF(listing_areas!C189&lt;&gt;"",listing_areas!C189,NA())</f>
        <v/>
      </c>
      <c r="V192">
        <f>IF(listing_areas!C189&lt;&gt;"",listing_areas!D189,NA())</f>
        <v/>
      </c>
    </row>
    <row r="193">
      <c r="U193">
        <f>IF(listing_areas!C190&lt;&gt;"",listing_areas!C190,NA())</f>
        <v/>
      </c>
      <c r="V193">
        <f>IF(listing_areas!C190&lt;&gt;"",listing_areas!D190,NA())</f>
        <v/>
      </c>
    </row>
    <row r="194">
      <c r="U194">
        <f>IF(listing_areas!C191&lt;&gt;"",listing_areas!C191,NA())</f>
        <v/>
      </c>
      <c r="V194">
        <f>IF(listing_areas!C191&lt;&gt;"",listing_areas!D191,NA())</f>
        <v/>
      </c>
    </row>
    <row r="195">
      <c r="U195">
        <f>IF(listing_areas!C192&lt;&gt;"",listing_areas!C192,NA())</f>
        <v/>
      </c>
      <c r="V195">
        <f>IF(listing_areas!C192&lt;&gt;"",listing_areas!D192,NA())</f>
        <v/>
      </c>
    </row>
    <row r="196">
      <c r="U196">
        <f>IF(listing_areas!C193&lt;&gt;"",listing_areas!C193,NA())</f>
        <v/>
      </c>
      <c r="V196">
        <f>IF(listing_areas!C193&lt;&gt;"",listing_areas!D193,NA())</f>
        <v/>
      </c>
    </row>
    <row r="197">
      <c r="U197">
        <f>IF(listing_areas!C194&lt;&gt;"",listing_areas!C194,NA())</f>
        <v/>
      </c>
      <c r="V197">
        <f>IF(listing_areas!C194&lt;&gt;"",listing_areas!D194,NA())</f>
        <v/>
      </c>
    </row>
    <row r="198">
      <c r="U198">
        <f>IF(listing_areas!C195&lt;&gt;"",listing_areas!C195,NA())</f>
        <v/>
      </c>
      <c r="V198">
        <f>IF(listing_areas!C195&lt;&gt;"",listing_areas!D195,NA())</f>
        <v/>
      </c>
    </row>
    <row r="199">
      <c r="U199">
        <f>IF(listing_areas!C196&lt;&gt;"",listing_areas!C196,NA())</f>
        <v/>
      </c>
      <c r="V199">
        <f>IF(listing_areas!C196&lt;&gt;"",listing_areas!D196,NA())</f>
        <v/>
      </c>
    </row>
    <row r="200">
      <c r="U200">
        <f>IF(listing_areas!C197&lt;&gt;"",listing_areas!C197,NA())</f>
        <v/>
      </c>
      <c r="V200">
        <f>IF(listing_areas!C197&lt;&gt;"",listing_areas!D197,NA())</f>
        <v/>
      </c>
    </row>
    <row r="201">
      <c r="U201">
        <f>IF(listing_areas!C198&lt;&gt;"",listing_areas!C198,NA())</f>
        <v/>
      </c>
      <c r="V201">
        <f>IF(listing_areas!C198&lt;&gt;"",listing_areas!D198,NA())</f>
        <v/>
      </c>
    </row>
    <row r="202">
      <c r="U202">
        <f>IF(listing_areas!C199&lt;&gt;"",listing_areas!C199,NA())</f>
        <v/>
      </c>
      <c r="V202">
        <f>IF(listing_areas!C199&lt;&gt;"",listing_areas!D199,NA())</f>
        <v/>
      </c>
    </row>
    <row r="203">
      <c r="U203">
        <f>IF(listing_areas!C200&lt;&gt;"",listing_areas!C200,NA())</f>
        <v/>
      </c>
      <c r="V203">
        <f>IF(listing_areas!C200&lt;&gt;"",listing_areas!D200,NA())</f>
        <v/>
      </c>
    </row>
    <row r="204">
      <c r="U204">
        <f>IF(listing_areas!C201&lt;&gt;"",listing_areas!C201,NA())</f>
        <v/>
      </c>
      <c r="V204">
        <f>IF(listing_areas!C201&lt;&gt;"",listing_areas!D201,NA())</f>
        <v/>
      </c>
    </row>
    <row r="205">
      <c r="U205">
        <f>IF(listing_areas!C202&lt;&gt;"",listing_areas!C202,NA())</f>
        <v/>
      </c>
      <c r="V205">
        <f>IF(listing_areas!C202&lt;&gt;"",listing_areas!D202,NA())</f>
        <v/>
      </c>
    </row>
    <row r="206">
      <c r="U206">
        <f>IF(listing_areas!C203&lt;&gt;"",listing_areas!C203,NA())</f>
        <v/>
      </c>
      <c r="V206">
        <f>IF(listing_areas!C203&lt;&gt;"",listing_areas!D203,NA())</f>
        <v/>
      </c>
    </row>
    <row r="207">
      <c r="U207">
        <f>IF(listing_areas!C204&lt;&gt;"",listing_areas!C204,NA())</f>
        <v/>
      </c>
      <c r="V207">
        <f>IF(listing_areas!C204&lt;&gt;"",listing_areas!D204,NA())</f>
        <v/>
      </c>
    </row>
    <row r="208">
      <c r="U208">
        <f>IF(listing_areas!C205&lt;&gt;"",listing_areas!C205,NA())</f>
        <v/>
      </c>
      <c r="V208">
        <f>IF(listing_areas!C205&lt;&gt;"",listing_areas!D205,NA())</f>
        <v/>
      </c>
    </row>
    <row r="209">
      <c r="U209">
        <f>IF(listing_areas!C206&lt;&gt;"",listing_areas!C206,NA())</f>
        <v/>
      </c>
      <c r="V209">
        <f>IF(listing_areas!C206&lt;&gt;"",listing_areas!D206,NA())</f>
        <v/>
      </c>
    </row>
    <row r="210">
      <c r="U210">
        <f>IF(listing_areas!C207&lt;&gt;"",listing_areas!C207,NA())</f>
        <v/>
      </c>
      <c r="V210">
        <f>IF(listing_areas!C207&lt;&gt;"",listing_areas!D207,NA())</f>
        <v/>
      </c>
    </row>
    <row r="211">
      <c r="U211">
        <f>IF(listing_areas!C208&lt;&gt;"",listing_areas!C208,NA())</f>
        <v/>
      </c>
      <c r="V211">
        <f>IF(listing_areas!C208&lt;&gt;"",listing_areas!D208,NA())</f>
        <v/>
      </c>
    </row>
    <row r="212">
      <c r="U212">
        <f>IF(listing_areas!C209&lt;&gt;"",listing_areas!C209,NA())</f>
        <v/>
      </c>
      <c r="V212">
        <f>IF(listing_areas!C209&lt;&gt;"",listing_areas!D209,NA())</f>
        <v/>
      </c>
    </row>
    <row r="213">
      <c r="U213">
        <f>IF(listing_areas!C210&lt;&gt;"",listing_areas!C210,NA())</f>
        <v/>
      </c>
      <c r="V213">
        <f>IF(listing_areas!C210&lt;&gt;"",listing_areas!D210,NA())</f>
        <v/>
      </c>
    </row>
    <row r="214">
      <c r="U214">
        <f>IF(listing_areas!C211&lt;&gt;"",listing_areas!C211,NA())</f>
        <v/>
      </c>
      <c r="V214">
        <f>IF(listing_areas!C211&lt;&gt;"",listing_areas!D211,NA())</f>
        <v/>
      </c>
    </row>
    <row r="215">
      <c r="U215">
        <f>IF(listing_areas!C212&lt;&gt;"",listing_areas!C212,NA())</f>
        <v/>
      </c>
      <c r="V215">
        <f>IF(listing_areas!C212&lt;&gt;"",listing_areas!D212,NA())</f>
        <v/>
      </c>
    </row>
    <row r="216">
      <c r="U216">
        <f>IF(listing_areas!C213&lt;&gt;"",listing_areas!C213,NA())</f>
        <v/>
      </c>
      <c r="V216">
        <f>IF(listing_areas!C213&lt;&gt;"",listing_areas!D213,NA())</f>
        <v/>
      </c>
    </row>
    <row r="217">
      <c r="U217">
        <f>IF(listing_areas!C214&lt;&gt;"",listing_areas!C214,NA())</f>
        <v/>
      </c>
      <c r="V217">
        <f>IF(listing_areas!C214&lt;&gt;"",listing_areas!D214,NA())</f>
        <v/>
      </c>
    </row>
    <row r="218">
      <c r="U218">
        <f>IF(listing_areas!C215&lt;&gt;"",listing_areas!C215,NA())</f>
        <v/>
      </c>
      <c r="V218">
        <f>IF(listing_areas!C215&lt;&gt;"",listing_areas!D215,NA())</f>
        <v/>
      </c>
    </row>
    <row r="219">
      <c r="U219">
        <f>IF(listing_areas!C216&lt;&gt;"",listing_areas!C216,NA())</f>
        <v/>
      </c>
      <c r="V219">
        <f>IF(listing_areas!C216&lt;&gt;"",listing_areas!D216,NA())</f>
        <v/>
      </c>
    </row>
    <row r="220">
      <c r="U220">
        <f>IF(listing_areas!C217&lt;&gt;"",listing_areas!C217,NA())</f>
        <v/>
      </c>
      <c r="V220">
        <f>IF(listing_areas!C217&lt;&gt;"",listing_areas!D217,NA())</f>
        <v/>
      </c>
    </row>
    <row r="221">
      <c r="U221">
        <f>IF(listing_areas!C218&lt;&gt;"",listing_areas!C218,NA())</f>
        <v/>
      </c>
      <c r="V221">
        <f>IF(listing_areas!C218&lt;&gt;"",listing_areas!D218,NA())</f>
        <v/>
      </c>
    </row>
    <row r="222">
      <c r="U222">
        <f>IF(listing_areas!C219&lt;&gt;"",listing_areas!C219,NA())</f>
        <v/>
      </c>
      <c r="V222">
        <f>IF(listing_areas!C219&lt;&gt;"",listing_areas!D219,NA())</f>
        <v/>
      </c>
    </row>
    <row r="223">
      <c r="U223">
        <f>IF(listing_areas!C220&lt;&gt;"",listing_areas!C220,NA())</f>
        <v/>
      </c>
      <c r="V223">
        <f>IF(listing_areas!C220&lt;&gt;"",listing_areas!D220,NA())</f>
        <v/>
      </c>
    </row>
    <row r="224">
      <c r="U224">
        <f>IF(listing_areas!C221&lt;&gt;"",listing_areas!C221,NA())</f>
        <v/>
      </c>
      <c r="V224">
        <f>IF(listing_areas!C221&lt;&gt;"",listing_areas!D221,NA())</f>
        <v/>
      </c>
    </row>
    <row r="225">
      <c r="U225">
        <f>IF(listing_areas!C222&lt;&gt;"",listing_areas!C222,NA())</f>
        <v/>
      </c>
      <c r="V225">
        <f>IF(listing_areas!C222&lt;&gt;"",listing_areas!D222,NA())</f>
        <v/>
      </c>
    </row>
    <row r="226">
      <c r="U226">
        <f>IF(listing_areas!C223&lt;&gt;"",listing_areas!C223,NA())</f>
        <v/>
      </c>
      <c r="V226">
        <f>IF(listing_areas!C223&lt;&gt;"",listing_areas!D223,NA())</f>
        <v/>
      </c>
    </row>
    <row r="227">
      <c r="U227">
        <f>IF(listing_areas!C224&lt;&gt;"",listing_areas!C224,NA())</f>
        <v/>
      </c>
      <c r="V227">
        <f>IF(listing_areas!C224&lt;&gt;"",listing_areas!D224,NA())</f>
        <v/>
      </c>
    </row>
    <row r="228">
      <c r="U228">
        <f>IF(listing_areas!C225&lt;&gt;"",listing_areas!C225,NA())</f>
        <v/>
      </c>
      <c r="V228">
        <f>IF(listing_areas!C225&lt;&gt;"",listing_areas!D225,NA())</f>
        <v/>
      </c>
    </row>
    <row r="229">
      <c r="U229">
        <f>IF(listing_areas!C226&lt;&gt;"",listing_areas!C226,NA())</f>
        <v/>
      </c>
      <c r="V229">
        <f>IF(listing_areas!C226&lt;&gt;"",listing_areas!D226,NA())</f>
        <v/>
      </c>
    </row>
    <row r="230">
      <c r="U230">
        <f>IF(listing_areas!C227&lt;&gt;"",listing_areas!C227,NA())</f>
        <v/>
      </c>
      <c r="V230">
        <f>IF(listing_areas!C227&lt;&gt;"",listing_areas!D227,NA())</f>
        <v/>
      </c>
    </row>
    <row r="231">
      <c r="U231">
        <f>IF(listing_areas!C228&lt;&gt;"",listing_areas!C228,NA())</f>
        <v/>
      </c>
      <c r="V231">
        <f>IF(listing_areas!C228&lt;&gt;"",listing_areas!D228,NA())</f>
        <v/>
      </c>
    </row>
    <row r="232">
      <c r="U232">
        <f>IF(listing_areas!C229&lt;&gt;"",listing_areas!C229,NA())</f>
        <v/>
      </c>
      <c r="V232">
        <f>IF(listing_areas!C229&lt;&gt;"",listing_areas!D229,NA())</f>
        <v/>
      </c>
    </row>
    <row r="233">
      <c r="U233">
        <f>IF(listing_areas!C230&lt;&gt;"",listing_areas!C230,NA())</f>
        <v/>
      </c>
      <c r="V233">
        <f>IF(listing_areas!C230&lt;&gt;"",listing_areas!D230,NA())</f>
        <v/>
      </c>
    </row>
    <row r="234">
      <c r="U234">
        <f>IF(listing_areas!C231&lt;&gt;"",listing_areas!C231,NA())</f>
        <v/>
      </c>
      <c r="V234">
        <f>IF(listing_areas!C231&lt;&gt;"",listing_areas!D231,NA())</f>
        <v/>
      </c>
    </row>
    <row r="235">
      <c r="U235">
        <f>IF(listing_areas!C232&lt;&gt;"",listing_areas!C232,NA())</f>
        <v/>
      </c>
      <c r="V235">
        <f>IF(listing_areas!C232&lt;&gt;"",listing_areas!D232,NA())</f>
        <v/>
      </c>
    </row>
    <row r="236">
      <c r="U236">
        <f>IF(listing_areas!C233&lt;&gt;"",listing_areas!C233,NA())</f>
        <v/>
      </c>
      <c r="V236">
        <f>IF(listing_areas!C233&lt;&gt;"",listing_areas!D233,NA())</f>
        <v/>
      </c>
    </row>
    <row r="237">
      <c r="U237">
        <f>IF(listing_areas!C234&lt;&gt;"",listing_areas!C234,NA())</f>
        <v/>
      </c>
      <c r="V237">
        <f>IF(listing_areas!C234&lt;&gt;"",listing_areas!D234,NA())</f>
        <v/>
      </c>
    </row>
    <row r="238">
      <c r="U238">
        <f>IF(listing_areas!C235&lt;&gt;"",listing_areas!C235,NA())</f>
        <v/>
      </c>
      <c r="V238">
        <f>IF(listing_areas!C235&lt;&gt;"",listing_areas!D235,NA())</f>
        <v/>
      </c>
    </row>
    <row r="239">
      <c r="U239">
        <f>IF(listing_areas!C236&lt;&gt;"",listing_areas!C236,NA())</f>
        <v/>
      </c>
      <c r="V239">
        <f>IF(listing_areas!C236&lt;&gt;"",listing_areas!D236,NA())</f>
        <v/>
      </c>
    </row>
    <row r="240">
      <c r="U240">
        <f>IF(listing_areas!C237&lt;&gt;"",listing_areas!C237,NA())</f>
        <v/>
      </c>
      <c r="V240">
        <f>IF(listing_areas!C237&lt;&gt;"",listing_areas!D237,NA())</f>
        <v/>
      </c>
    </row>
    <row r="241">
      <c r="U241">
        <f>IF(listing_areas!C238&lt;&gt;"",listing_areas!C238,NA())</f>
        <v/>
      </c>
      <c r="V241">
        <f>IF(listing_areas!C238&lt;&gt;"",listing_areas!D238,NA())</f>
        <v/>
      </c>
    </row>
    <row r="242">
      <c r="U242">
        <f>IF(listing_areas!C239&lt;&gt;"",listing_areas!C239,NA())</f>
        <v/>
      </c>
      <c r="V242">
        <f>IF(listing_areas!C239&lt;&gt;"",listing_areas!D239,NA())</f>
        <v/>
      </c>
    </row>
    <row r="243">
      <c r="U243">
        <f>IF(listing_areas!C240&lt;&gt;"",listing_areas!C240,NA())</f>
        <v/>
      </c>
      <c r="V243">
        <f>IF(listing_areas!C240&lt;&gt;"",listing_areas!D240,NA())</f>
        <v/>
      </c>
    </row>
    <row r="244">
      <c r="U244">
        <f>IF(listing_areas!C241&lt;&gt;"",listing_areas!C241,NA())</f>
        <v/>
      </c>
      <c r="V244">
        <f>IF(listing_areas!C241&lt;&gt;"",listing_areas!D241,NA())</f>
        <v/>
      </c>
    </row>
    <row r="245">
      <c r="U245">
        <f>IF(listing_areas!C242&lt;&gt;"",listing_areas!C242,NA())</f>
        <v/>
      </c>
      <c r="V245">
        <f>IF(listing_areas!C242&lt;&gt;"",listing_areas!D242,NA())</f>
        <v/>
      </c>
    </row>
    <row r="246">
      <c r="U246">
        <f>IF(listing_areas!C243&lt;&gt;"",listing_areas!C243,NA())</f>
        <v/>
      </c>
      <c r="V246">
        <f>IF(listing_areas!C243&lt;&gt;"",listing_areas!D243,NA())</f>
        <v/>
      </c>
    </row>
    <row r="247">
      <c r="U247">
        <f>IF(listing_areas!C244&lt;&gt;"",listing_areas!C244,NA())</f>
        <v/>
      </c>
      <c r="V247">
        <f>IF(listing_areas!C244&lt;&gt;"",listing_areas!D244,NA())</f>
        <v/>
      </c>
    </row>
    <row r="248">
      <c r="U248">
        <f>IF(listing_areas!C245&lt;&gt;"",listing_areas!C245,NA())</f>
        <v/>
      </c>
      <c r="V248">
        <f>IF(listing_areas!C245&lt;&gt;"",listing_areas!D245,NA())</f>
        <v/>
      </c>
    </row>
    <row r="249">
      <c r="U249">
        <f>IF(listing_areas!C246&lt;&gt;"",listing_areas!C246,NA())</f>
        <v/>
      </c>
      <c r="V249">
        <f>IF(listing_areas!C246&lt;&gt;"",listing_areas!D246,NA())</f>
        <v/>
      </c>
    </row>
    <row r="250">
      <c r="U250">
        <f>IF(listing_areas!C247&lt;&gt;"",listing_areas!C247,NA())</f>
        <v/>
      </c>
      <c r="V250">
        <f>IF(listing_areas!C247&lt;&gt;"",listing_areas!D247,NA())</f>
        <v/>
      </c>
    </row>
    <row r="251">
      <c r="U251">
        <f>IF(listing_areas!C248&lt;&gt;"",listing_areas!C248,NA())</f>
        <v/>
      </c>
      <c r="V251">
        <f>IF(listing_areas!C248&lt;&gt;"",listing_areas!D248,NA())</f>
        <v/>
      </c>
    </row>
    <row r="252">
      <c r="U252">
        <f>IF(listing_areas!C249&lt;&gt;"",listing_areas!C249,NA())</f>
        <v/>
      </c>
      <c r="V252">
        <f>IF(listing_areas!C249&lt;&gt;"",listing_areas!D249,NA())</f>
        <v/>
      </c>
    </row>
    <row r="253">
      <c r="U253">
        <f>IF(listing_areas!C250&lt;&gt;"",listing_areas!C250,NA())</f>
        <v/>
      </c>
      <c r="V253">
        <f>IF(listing_areas!C250&lt;&gt;"",listing_areas!D250,NA())</f>
        <v/>
      </c>
    </row>
    <row r="254">
      <c r="U254">
        <f>IF(listing_areas!C251&lt;&gt;"",listing_areas!C251,NA())</f>
        <v/>
      </c>
      <c r="V254">
        <f>IF(listing_areas!C251&lt;&gt;"",listing_areas!D251,NA())</f>
        <v/>
      </c>
    </row>
    <row r="255">
      <c r="U255">
        <f>IF(listing_areas!C252&lt;&gt;"",listing_areas!C252,NA())</f>
        <v/>
      </c>
      <c r="V255">
        <f>IF(listing_areas!C252&lt;&gt;"",listing_areas!D252,NA())</f>
        <v/>
      </c>
    </row>
    <row r="256">
      <c r="U256">
        <f>IF(listing_areas!C253&lt;&gt;"",listing_areas!C253,NA())</f>
        <v/>
      </c>
      <c r="V256">
        <f>IF(listing_areas!C253&lt;&gt;"",listing_areas!D253,NA())</f>
        <v/>
      </c>
    </row>
    <row r="257">
      <c r="U257">
        <f>IF(listing_areas!C254&lt;&gt;"",listing_areas!C254,NA())</f>
        <v/>
      </c>
      <c r="V257">
        <f>IF(listing_areas!C254&lt;&gt;"",listing_areas!D254,NA())</f>
        <v/>
      </c>
    </row>
    <row r="258">
      <c r="U258">
        <f>IF(listing_areas!C255&lt;&gt;"",listing_areas!C255,NA())</f>
        <v/>
      </c>
      <c r="V258">
        <f>IF(listing_areas!C255&lt;&gt;"",listing_areas!D255,NA())</f>
        <v/>
      </c>
    </row>
    <row r="259">
      <c r="U259">
        <f>IF(listing_areas!C256&lt;&gt;"",listing_areas!C256,NA())</f>
        <v/>
      </c>
      <c r="V259">
        <f>IF(listing_areas!C256&lt;&gt;"",listing_areas!D256,NA())</f>
        <v/>
      </c>
    </row>
    <row r="260">
      <c r="U260">
        <f>IF(listing_areas!C257&lt;&gt;"",listing_areas!C257,NA())</f>
        <v/>
      </c>
      <c r="V260">
        <f>IF(listing_areas!C257&lt;&gt;"",listing_areas!D257,NA())</f>
        <v/>
      </c>
    </row>
    <row r="261">
      <c r="U261">
        <f>IF(listing_areas!C258&lt;&gt;"",listing_areas!C258,NA())</f>
        <v/>
      </c>
      <c r="V261">
        <f>IF(listing_areas!C258&lt;&gt;"",listing_areas!D258,NA())</f>
        <v/>
      </c>
    </row>
    <row r="262">
      <c r="U262">
        <f>IF(listing_areas!C259&lt;&gt;"",listing_areas!C259,NA())</f>
        <v/>
      </c>
      <c r="V262">
        <f>IF(listing_areas!C259&lt;&gt;"",listing_areas!D259,NA())</f>
        <v/>
      </c>
    </row>
    <row r="263">
      <c r="U263">
        <f>IF(listing_areas!C260&lt;&gt;"",listing_areas!C260,NA())</f>
        <v/>
      </c>
      <c r="V263">
        <f>IF(listing_areas!C260&lt;&gt;"",listing_areas!D260,NA())</f>
        <v/>
      </c>
    </row>
    <row r="264">
      <c r="U264">
        <f>IF(listing_areas!C261&lt;&gt;"",listing_areas!C261,NA())</f>
        <v/>
      </c>
      <c r="V264">
        <f>IF(listing_areas!C261&lt;&gt;"",listing_areas!D261,NA())</f>
        <v/>
      </c>
    </row>
    <row r="265">
      <c r="U265">
        <f>IF(listing_areas!C262&lt;&gt;"",listing_areas!C262,NA())</f>
        <v/>
      </c>
      <c r="V265">
        <f>IF(listing_areas!C262&lt;&gt;"",listing_areas!D262,NA())</f>
        <v/>
      </c>
    </row>
    <row r="266">
      <c r="U266">
        <f>IF(listing_areas!C263&lt;&gt;"",listing_areas!C263,NA())</f>
        <v/>
      </c>
      <c r="V266">
        <f>IF(listing_areas!C263&lt;&gt;"",listing_areas!D263,NA())</f>
        <v/>
      </c>
    </row>
    <row r="267">
      <c r="U267">
        <f>IF(listing_areas!C264&lt;&gt;"",listing_areas!C264,NA())</f>
        <v/>
      </c>
      <c r="V267">
        <f>IF(listing_areas!C264&lt;&gt;"",listing_areas!D264,NA())</f>
        <v/>
      </c>
    </row>
    <row r="268">
      <c r="U268">
        <f>IF(listing_areas!C265&lt;&gt;"",listing_areas!C265,NA())</f>
        <v/>
      </c>
      <c r="V268">
        <f>IF(listing_areas!C265&lt;&gt;"",listing_areas!D265,NA())</f>
        <v/>
      </c>
    </row>
    <row r="269">
      <c r="U269">
        <f>IF(listing_areas!C266&lt;&gt;"",listing_areas!C266,NA())</f>
        <v/>
      </c>
      <c r="V269">
        <f>IF(listing_areas!C266&lt;&gt;"",listing_areas!D266,NA())</f>
        <v/>
      </c>
    </row>
    <row r="270">
      <c r="U270">
        <f>IF(listing_areas!C267&lt;&gt;"",listing_areas!C267,NA())</f>
        <v/>
      </c>
      <c r="V270">
        <f>IF(listing_areas!C267&lt;&gt;"",listing_areas!D267,NA())</f>
        <v/>
      </c>
    </row>
    <row r="271">
      <c r="U271">
        <f>IF(listing_areas!C268&lt;&gt;"",listing_areas!C268,NA())</f>
        <v/>
      </c>
      <c r="V271">
        <f>IF(listing_areas!C268&lt;&gt;"",listing_areas!D268,NA())</f>
        <v/>
      </c>
    </row>
    <row r="272">
      <c r="U272">
        <f>IF(listing_areas!C269&lt;&gt;"",listing_areas!C269,NA())</f>
        <v/>
      </c>
      <c r="V272">
        <f>IF(listing_areas!C269&lt;&gt;"",listing_areas!D269,NA())</f>
        <v/>
      </c>
    </row>
    <row r="273">
      <c r="U273">
        <f>IF(listing_areas!C270&lt;&gt;"",listing_areas!C270,NA())</f>
        <v/>
      </c>
      <c r="V273">
        <f>IF(listing_areas!C270&lt;&gt;"",listing_areas!D270,NA())</f>
        <v/>
      </c>
    </row>
    <row r="274">
      <c r="U274">
        <f>IF(listing_areas!C271&lt;&gt;"",listing_areas!C271,NA())</f>
        <v/>
      </c>
      <c r="V274">
        <f>IF(listing_areas!C271&lt;&gt;"",listing_areas!D271,NA())</f>
        <v/>
      </c>
    </row>
    <row r="275">
      <c r="U275">
        <f>IF(listing_areas!C272&lt;&gt;"",listing_areas!C272,NA())</f>
        <v/>
      </c>
      <c r="V275">
        <f>IF(listing_areas!C272&lt;&gt;"",listing_areas!D272,NA())</f>
        <v/>
      </c>
    </row>
    <row r="276">
      <c r="U276">
        <f>IF(listing_areas!C273&lt;&gt;"",listing_areas!C273,NA())</f>
        <v/>
      </c>
      <c r="V276">
        <f>IF(listing_areas!C273&lt;&gt;"",listing_areas!D273,NA())</f>
        <v/>
      </c>
    </row>
    <row r="277">
      <c r="U277">
        <f>IF(listing_areas!C274&lt;&gt;"",listing_areas!C274,NA())</f>
        <v/>
      </c>
      <c r="V277">
        <f>IF(listing_areas!C274&lt;&gt;"",listing_areas!D274,NA())</f>
        <v/>
      </c>
    </row>
    <row r="278">
      <c r="U278">
        <f>IF(listing_areas!C275&lt;&gt;"",listing_areas!C275,NA())</f>
        <v/>
      </c>
      <c r="V278">
        <f>IF(listing_areas!C275&lt;&gt;"",listing_areas!D275,NA())</f>
        <v/>
      </c>
    </row>
    <row r="279">
      <c r="U279">
        <f>IF(listing_areas!C276&lt;&gt;"",listing_areas!C276,NA())</f>
        <v/>
      </c>
      <c r="V279">
        <f>IF(listing_areas!C276&lt;&gt;"",listing_areas!D276,NA())</f>
        <v/>
      </c>
    </row>
    <row r="280">
      <c r="U280">
        <f>IF(listing_areas!C277&lt;&gt;"",listing_areas!C277,NA())</f>
        <v/>
      </c>
      <c r="V280">
        <f>IF(listing_areas!C277&lt;&gt;"",listing_areas!D277,NA())</f>
        <v/>
      </c>
    </row>
    <row r="281">
      <c r="U281">
        <f>IF(listing_areas!C278&lt;&gt;"",listing_areas!C278,NA())</f>
        <v/>
      </c>
      <c r="V281">
        <f>IF(listing_areas!C278&lt;&gt;"",listing_areas!D278,NA())</f>
        <v/>
      </c>
    </row>
    <row r="282">
      <c r="U282">
        <f>IF(listing_areas!C279&lt;&gt;"",listing_areas!C279,NA())</f>
        <v/>
      </c>
      <c r="V282">
        <f>IF(listing_areas!C279&lt;&gt;"",listing_areas!D279,NA())</f>
        <v/>
      </c>
    </row>
    <row r="283">
      <c r="U283">
        <f>IF(listing_areas!C280&lt;&gt;"",listing_areas!C280,NA())</f>
        <v/>
      </c>
      <c r="V283">
        <f>IF(listing_areas!C280&lt;&gt;"",listing_areas!D280,NA())</f>
        <v/>
      </c>
    </row>
    <row r="284">
      <c r="U284">
        <f>IF(listing_areas!C281&lt;&gt;"",listing_areas!C281,NA())</f>
        <v/>
      </c>
      <c r="V284">
        <f>IF(listing_areas!C281&lt;&gt;"",listing_areas!D281,NA())</f>
        <v/>
      </c>
    </row>
    <row r="285">
      <c r="U285">
        <f>IF(listing_areas!C282&lt;&gt;"",listing_areas!C282,NA())</f>
        <v/>
      </c>
      <c r="V285">
        <f>IF(listing_areas!C282&lt;&gt;"",listing_areas!D282,NA())</f>
        <v/>
      </c>
    </row>
    <row r="286">
      <c r="U286">
        <f>IF(listing_areas!C283&lt;&gt;"",listing_areas!C283,NA())</f>
        <v/>
      </c>
      <c r="V286">
        <f>IF(listing_areas!C283&lt;&gt;"",listing_areas!D283,NA())</f>
        <v/>
      </c>
    </row>
    <row r="287">
      <c r="U287">
        <f>IF(listing_areas!C284&lt;&gt;"",listing_areas!C284,NA())</f>
        <v/>
      </c>
      <c r="V287">
        <f>IF(listing_areas!C284&lt;&gt;"",listing_areas!D284,NA())</f>
        <v/>
      </c>
    </row>
    <row r="288">
      <c r="U288">
        <f>IF(listing_areas!C285&lt;&gt;"",listing_areas!C285,NA())</f>
        <v/>
      </c>
      <c r="V288">
        <f>IF(listing_areas!C285&lt;&gt;"",listing_areas!D285,NA())</f>
        <v/>
      </c>
    </row>
    <row r="289">
      <c r="U289">
        <f>IF(listing_areas!C286&lt;&gt;"",listing_areas!C286,NA())</f>
        <v/>
      </c>
      <c r="V289">
        <f>IF(listing_areas!C286&lt;&gt;"",listing_areas!D286,NA())</f>
        <v/>
      </c>
    </row>
    <row r="290">
      <c r="U290">
        <f>IF(listing_areas!C287&lt;&gt;"",listing_areas!C287,NA())</f>
        <v/>
      </c>
      <c r="V290">
        <f>IF(listing_areas!C287&lt;&gt;"",listing_areas!D287,NA())</f>
        <v/>
      </c>
    </row>
    <row r="291">
      <c r="U291">
        <f>IF(listing_areas!C288&lt;&gt;"",listing_areas!C288,NA())</f>
        <v/>
      </c>
      <c r="V291">
        <f>IF(listing_areas!C288&lt;&gt;"",listing_areas!D288,NA())</f>
        <v/>
      </c>
    </row>
    <row r="292">
      <c r="U292">
        <f>IF(listing_areas!C289&lt;&gt;"",listing_areas!C289,NA())</f>
        <v/>
      </c>
      <c r="V292">
        <f>IF(listing_areas!C289&lt;&gt;"",listing_areas!D289,NA())</f>
        <v/>
      </c>
    </row>
    <row r="293">
      <c r="U293">
        <f>IF(listing_areas!C290&lt;&gt;"",listing_areas!C290,NA())</f>
        <v/>
      </c>
      <c r="V293">
        <f>IF(listing_areas!C290&lt;&gt;"",listing_areas!D290,NA())</f>
        <v/>
      </c>
    </row>
    <row r="294">
      <c r="U294">
        <f>IF(listing_areas!C291&lt;&gt;"",listing_areas!C291,NA())</f>
        <v/>
      </c>
      <c r="V294">
        <f>IF(listing_areas!C291&lt;&gt;"",listing_areas!D291,NA())</f>
        <v/>
      </c>
    </row>
    <row r="295">
      <c r="U295">
        <f>IF(listing_areas!C292&lt;&gt;"",listing_areas!C292,NA())</f>
        <v/>
      </c>
      <c r="V295">
        <f>IF(listing_areas!C292&lt;&gt;"",listing_areas!D292,NA())</f>
        <v/>
      </c>
    </row>
    <row r="296">
      <c r="U296">
        <f>IF(listing_areas!C293&lt;&gt;"",listing_areas!C293,NA())</f>
        <v/>
      </c>
      <c r="V296">
        <f>IF(listing_areas!C293&lt;&gt;"",listing_areas!D293,NA())</f>
        <v/>
      </c>
    </row>
    <row r="297">
      <c r="U297">
        <f>IF(listing_areas!C294&lt;&gt;"",listing_areas!C294,NA())</f>
        <v/>
      </c>
      <c r="V297">
        <f>IF(listing_areas!C294&lt;&gt;"",listing_areas!D294,NA())</f>
        <v/>
      </c>
    </row>
    <row r="298">
      <c r="U298">
        <f>IF(listing_areas!C295&lt;&gt;"",listing_areas!C295,NA())</f>
        <v/>
      </c>
      <c r="V298">
        <f>IF(listing_areas!C295&lt;&gt;"",listing_areas!D295,NA())</f>
        <v/>
      </c>
    </row>
    <row r="299">
      <c r="U299">
        <f>IF(listing_areas!C296&lt;&gt;"",listing_areas!C296,NA())</f>
        <v/>
      </c>
      <c r="V299">
        <f>IF(listing_areas!C296&lt;&gt;"",listing_areas!D296,NA())</f>
        <v/>
      </c>
    </row>
    <row r="300">
      <c r="U300">
        <f>IF(listing_areas!C297&lt;&gt;"",listing_areas!C297,NA())</f>
        <v/>
      </c>
      <c r="V300">
        <f>IF(listing_areas!C297&lt;&gt;"",listing_areas!D297,NA())</f>
        <v/>
      </c>
    </row>
    <row r="301">
      <c r="U301">
        <f>IF(listing_areas!C298&lt;&gt;"",listing_areas!C298,NA())</f>
        <v/>
      </c>
      <c r="V301">
        <f>IF(listing_areas!C298&lt;&gt;"",listing_areas!D298,NA())</f>
        <v/>
      </c>
    </row>
    <row r="302">
      <c r="U302">
        <f>IF(listing_areas!C299&lt;&gt;"",listing_areas!C299,NA())</f>
        <v/>
      </c>
      <c r="V302">
        <f>IF(listing_areas!C299&lt;&gt;"",listing_areas!D299,NA())</f>
        <v/>
      </c>
    </row>
    <row r="303">
      <c r="U303">
        <f>IF(listing_areas!C300&lt;&gt;"",listing_areas!C300,NA())</f>
        <v/>
      </c>
      <c r="V303">
        <f>IF(listing_areas!C300&lt;&gt;"",listing_areas!D300,NA())</f>
        <v/>
      </c>
    </row>
    <row r="304">
      <c r="U304">
        <f>IF(listing_areas!C301&lt;&gt;"",listing_areas!C301,NA())</f>
        <v/>
      </c>
      <c r="V304">
        <f>IF(listing_areas!C301&lt;&gt;"",listing_areas!D301,NA())</f>
        <v/>
      </c>
    </row>
    <row r="305">
      <c r="U305">
        <f>IF(listing_areas!C302&lt;&gt;"",listing_areas!C302,NA())</f>
        <v/>
      </c>
      <c r="V305">
        <f>IF(listing_areas!C302&lt;&gt;"",listing_areas!D302,NA())</f>
        <v/>
      </c>
    </row>
    <row r="306">
      <c r="U306">
        <f>IF(listing_areas!C303&lt;&gt;"",listing_areas!C303,NA())</f>
        <v/>
      </c>
      <c r="V306">
        <f>IF(listing_areas!C303&lt;&gt;"",listing_areas!D303,NA())</f>
        <v/>
      </c>
    </row>
    <row r="307">
      <c r="U307">
        <f>IF(listing_areas!C304&lt;&gt;"",listing_areas!C304,NA())</f>
        <v/>
      </c>
      <c r="V307">
        <f>IF(listing_areas!C304&lt;&gt;"",listing_areas!D304,NA())</f>
        <v/>
      </c>
    </row>
    <row r="308">
      <c r="U308">
        <f>IF(listing_areas!C305&lt;&gt;"",listing_areas!C305,NA())</f>
        <v/>
      </c>
      <c r="V308">
        <f>IF(listing_areas!C305&lt;&gt;"",listing_areas!D305,NA())</f>
        <v/>
      </c>
    </row>
    <row r="309">
      <c r="U309">
        <f>IF(listing_areas!C306&lt;&gt;"",listing_areas!C306,NA())</f>
        <v/>
      </c>
      <c r="V309">
        <f>IF(listing_areas!C306&lt;&gt;"",listing_areas!D306,NA())</f>
        <v/>
      </c>
    </row>
    <row r="310">
      <c r="U310">
        <f>IF(listing_areas!C307&lt;&gt;"",listing_areas!C307,NA())</f>
        <v/>
      </c>
      <c r="V310">
        <f>IF(listing_areas!C307&lt;&gt;"",listing_areas!D307,NA())</f>
        <v/>
      </c>
    </row>
    <row r="311">
      <c r="U311">
        <f>IF(listing_areas!C308&lt;&gt;"",listing_areas!C308,NA())</f>
        <v/>
      </c>
      <c r="V311">
        <f>IF(listing_areas!C308&lt;&gt;"",listing_areas!D308,NA())</f>
        <v/>
      </c>
    </row>
    <row r="312">
      <c r="U312">
        <f>IF(listing_areas!C309&lt;&gt;"",listing_areas!C309,NA())</f>
        <v/>
      </c>
      <c r="V312">
        <f>IF(listing_areas!C309&lt;&gt;"",listing_areas!D309,NA())</f>
        <v/>
      </c>
    </row>
    <row r="313">
      <c r="U313">
        <f>IF(listing_areas!C310&lt;&gt;"",listing_areas!C310,NA())</f>
        <v/>
      </c>
      <c r="V313">
        <f>IF(listing_areas!C310&lt;&gt;"",listing_areas!D310,NA())</f>
        <v/>
      </c>
    </row>
    <row r="314">
      <c r="U314">
        <f>IF(listing_areas!C311&lt;&gt;"",listing_areas!C311,NA())</f>
        <v/>
      </c>
      <c r="V314">
        <f>IF(listing_areas!C311&lt;&gt;"",listing_areas!D311,NA())</f>
        <v/>
      </c>
    </row>
    <row r="315">
      <c r="U315">
        <f>IF(listing_areas!C312&lt;&gt;"",listing_areas!C312,NA())</f>
        <v/>
      </c>
      <c r="V315">
        <f>IF(listing_areas!C312&lt;&gt;"",listing_areas!D312,NA())</f>
        <v/>
      </c>
    </row>
    <row r="316">
      <c r="U316">
        <f>IF(listing_areas!C313&lt;&gt;"",listing_areas!C313,NA())</f>
        <v/>
      </c>
      <c r="V316">
        <f>IF(listing_areas!C313&lt;&gt;"",listing_areas!D313,NA())</f>
        <v/>
      </c>
    </row>
    <row r="317">
      <c r="U317">
        <f>IF(listing_areas!C314&lt;&gt;"",listing_areas!C314,NA())</f>
        <v/>
      </c>
      <c r="V317">
        <f>IF(listing_areas!C314&lt;&gt;"",listing_areas!D314,NA())</f>
        <v/>
      </c>
    </row>
    <row r="318">
      <c r="U318">
        <f>IF(listing_areas!C315&lt;&gt;"",listing_areas!C315,NA())</f>
        <v/>
      </c>
      <c r="V318">
        <f>IF(listing_areas!C315&lt;&gt;"",listing_areas!D315,NA())</f>
        <v/>
      </c>
    </row>
    <row r="319">
      <c r="U319">
        <f>IF(listing_areas!C316&lt;&gt;"",listing_areas!C316,NA())</f>
        <v/>
      </c>
      <c r="V319">
        <f>IF(listing_areas!C316&lt;&gt;"",listing_areas!D316,NA())</f>
        <v/>
      </c>
    </row>
    <row r="320">
      <c r="U320">
        <f>IF(listing_areas!C317&lt;&gt;"",listing_areas!C317,NA())</f>
        <v/>
      </c>
      <c r="V320">
        <f>IF(listing_areas!C317&lt;&gt;"",listing_areas!D317,NA())</f>
        <v/>
      </c>
    </row>
    <row r="321">
      <c r="U321">
        <f>IF(listing_areas!C318&lt;&gt;"",listing_areas!C318,NA())</f>
        <v/>
      </c>
      <c r="V321">
        <f>IF(listing_areas!C318&lt;&gt;"",listing_areas!D318,NA())</f>
        <v/>
      </c>
    </row>
    <row r="322">
      <c r="U322">
        <f>IF(listing_areas!C319&lt;&gt;"",listing_areas!C319,NA())</f>
        <v/>
      </c>
      <c r="V322">
        <f>IF(listing_areas!C319&lt;&gt;"",listing_areas!D319,NA())</f>
        <v/>
      </c>
    </row>
    <row r="323">
      <c r="U323">
        <f>IF(listing_areas!C320&lt;&gt;"",listing_areas!C320,NA())</f>
        <v/>
      </c>
      <c r="V323">
        <f>IF(listing_areas!C320&lt;&gt;"",listing_areas!D320,NA())</f>
        <v/>
      </c>
    </row>
    <row r="324">
      <c r="U324">
        <f>IF(listing_areas!C321&lt;&gt;"",listing_areas!C321,NA())</f>
        <v/>
      </c>
      <c r="V324">
        <f>IF(listing_areas!C321&lt;&gt;"",listing_areas!D321,NA())</f>
        <v/>
      </c>
    </row>
    <row r="325">
      <c r="U325">
        <f>IF(listing_areas!C322&lt;&gt;"",listing_areas!C322,NA())</f>
        <v/>
      </c>
      <c r="V325">
        <f>IF(listing_areas!C322&lt;&gt;"",listing_areas!D322,NA())</f>
        <v/>
      </c>
    </row>
    <row r="326">
      <c r="U326">
        <f>IF(listing_areas!C323&lt;&gt;"",listing_areas!C323,NA())</f>
        <v/>
      </c>
      <c r="V326">
        <f>IF(listing_areas!C323&lt;&gt;"",listing_areas!D323,NA())</f>
        <v/>
      </c>
    </row>
    <row r="327">
      <c r="U327">
        <f>IF(listing_areas!C324&lt;&gt;"",listing_areas!C324,NA())</f>
        <v/>
      </c>
      <c r="V327">
        <f>IF(listing_areas!C324&lt;&gt;"",listing_areas!D324,NA())</f>
        <v/>
      </c>
    </row>
    <row r="328">
      <c r="U328">
        <f>IF(listing_areas!C325&lt;&gt;"",listing_areas!C325,NA())</f>
        <v/>
      </c>
      <c r="V328">
        <f>IF(listing_areas!C325&lt;&gt;"",listing_areas!D325,NA())</f>
        <v/>
      </c>
    </row>
    <row r="329">
      <c r="U329">
        <f>IF(listing_areas!C326&lt;&gt;"",listing_areas!C326,NA())</f>
        <v/>
      </c>
      <c r="V329">
        <f>IF(listing_areas!C326&lt;&gt;"",listing_areas!D326,NA())</f>
        <v/>
      </c>
    </row>
    <row r="330">
      <c r="U330">
        <f>IF(listing_areas!C327&lt;&gt;"",listing_areas!C327,NA())</f>
        <v/>
      </c>
      <c r="V330">
        <f>IF(listing_areas!C327&lt;&gt;"",listing_areas!D327,NA())</f>
        <v/>
      </c>
    </row>
    <row r="331">
      <c r="U331">
        <f>IF(listing_areas!C328&lt;&gt;"",listing_areas!C328,NA())</f>
        <v/>
      </c>
      <c r="V331">
        <f>IF(listing_areas!C328&lt;&gt;"",listing_areas!D328,NA())</f>
        <v/>
      </c>
    </row>
    <row r="332">
      <c r="U332">
        <f>IF(listing_areas!C329&lt;&gt;"",listing_areas!C329,NA())</f>
        <v/>
      </c>
      <c r="V332">
        <f>IF(listing_areas!C329&lt;&gt;"",listing_areas!D329,NA())</f>
        <v/>
      </c>
    </row>
    <row r="333">
      <c r="U333">
        <f>IF(listing_areas!C330&lt;&gt;"",listing_areas!C330,NA())</f>
        <v/>
      </c>
      <c r="V333">
        <f>IF(listing_areas!C330&lt;&gt;"",listing_areas!D330,NA())</f>
        <v/>
      </c>
    </row>
    <row r="334">
      <c r="U334">
        <f>IF(listing_areas!C331&lt;&gt;"",listing_areas!C331,NA())</f>
        <v/>
      </c>
      <c r="V334">
        <f>IF(listing_areas!C331&lt;&gt;"",listing_areas!D331,NA())</f>
        <v/>
      </c>
    </row>
    <row r="335">
      <c r="U335">
        <f>IF(listing_areas!C332&lt;&gt;"",listing_areas!C332,NA())</f>
        <v/>
      </c>
      <c r="V335">
        <f>IF(listing_areas!C332&lt;&gt;"",listing_areas!D332,NA())</f>
        <v/>
      </c>
    </row>
    <row r="336">
      <c r="U336">
        <f>IF(listing_areas!C333&lt;&gt;"",listing_areas!C333,NA())</f>
        <v/>
      </c>
      <c r="V336">
        <f>IF(listing_areas!C333&lt;&gt;"",listing_areas!D333,NA())</f>
        <v/>
      </c>
    </row>
    <row r="337">
      <c r="U337">
        <f>IF(listing_areas!C334&lt;&gt;"",listing_areas!C334,NA())</f>
        <v/>
      </c>
      <c r="V337">
        <f>IF(listing_areas!C334&lt;&gt;"",listing_areas!D334,NA())</f>
        <v/>
      </c>
    </row>
    <row r="338">
      <c r="U338">
        <f>IF(listing_areas!C335&lt;&gt;"",listing_areas!C335,NA())</f>
        <v/>
      </c>
      <c r="V338">
        <f>IF(listing_areas!C335&lt;&gt;"",listing_areas!D335,NA())</f>
        <v/>
      </c>
    </row>
    <row r="339">
      <c r="U339">
        <f>IF(listing_areas!C336&lt;&gt;"",listing_areas!C336,NA())</f>
        <v/>
      </c>
      <c r="V339">
        <f>IF(listing_areas!C336&lt;&gt;"",listing_areas!D336,NA())</f>
        <v/>
      </c>
    </row>
    <row r="340">
      <c r="U340">
        <f>IF(listing_areas!C337&lt;&gt;"",listing_areas!C337,NA())</f>
        <v/>
      </c>
      <c r="V340">
        <f>IF(listing_areas!C337&lt;&gt;"",listing_areas!D337,NA())</f>
        <v/>
      </c>
    </row>
    <row r="341">
      <c r="U341">
        <f>IF(listing_areas!C338&lt;&gt;"",listing_areas!C338,NA())</f>
        <v/>
      </c>
      <c r="V341">
        <f>IF(listing_areas!C338&lt;&gt;"",listing_areas!D338,NA())</f>
        <v/>
      </c>
    </row>
    <row r="342">
      <c r="U342">
        <f>IF(listing_areas!C339&lt;&gt;"",listing_areas!C339,NA())</f>
        <v/>
      </c>
      <c r="V342">
        <f>IF(listing_areas!C339&lt;&gt;"",listing_areas!D339,NA())</f>
        <v/>
      </c>
    </row>
    <row r="343">
      <c r="U343">
        <f>IF(listing_areas!C340&lt;&gt;"",listing_areas!C340,NA())</f>
        <v/>
      </c>
      <c r="V343">
        <f>IF(listing_areas!C340&lt;&gt;"",listing_areas!D340,NA())</f>
        <v/>
      </c>
    </row>
    <row r="344">
      <c r="U344">
        <f>IF(listing_areas!C341&lt;&gt;"",listing_areas!C341,NA())</f>
        <v/>
      </c>
      <c r="V344">
        <f>IF(listing_areas!C341&lt;&gt;"",listing_areas!D341,NA())</f>
        <v/>
      </c>
    </row>
    <row r="345">
      <c r="U345">
        <f>IF(listing_areas!C342&lt;&gt;"",listing_areas!C342,NA())</f>
        <v/>
      </c>
      <c r="V345">
        <f>IF(listing_areas!C342&lt;&gt;"",listing_areas!D342,NA())</f>
        <v/>
      </c>
    </row>
    <row r="346">
      <c r="U346">
        <f>IF(listing_areas!C343&lt;&gt;"",listing_areas!C343,NA())</f>
        <v/>
      </c>
      <c r="V346">
        <f>IF(listing_areas!C343&lt;&gt;"",listing_areas!D343,NA())</f>
        <v/>
      </c>
    </row>
    <row r="347">
      <c r="U347">
        <f>IF(listing_areas!C344&lt;&gt;"",listing_areas!C344,NA())</f>
        <v/>
      </c>
      <c r="V347">
        <f>IF(listing_areas!C344&lt;&gt;"",listing_areas!D344,NA())</f>
        <v/>
      </c>
    </row>
    <row r="348">
      <c r="U348">
        <f>IF(listing_areas!C345&lt;&gt;"",listing_areas!C345,NA())</f>
        <v/>
      </c>
      <c r="V348">
        <f>IF(listing_areas!C345&lt;&gt;"",listing_areas!D345,NA())</f>
        <v/>
      </c>
    </row>
    <row r="349">
      <c r="U349">
        <f>IF(listing_areas!C346&lt;&gt;"",listing_areas!C346,NA())</f>
        <v/>
      </c>
      <c r="V349">
        <f>IF(listing_areas!C346&lt;&gt;"",listing_areas!D346,NA())</f>
        <v/>
      </c>
    </row>
    <row r="350">
      <c r="U350">
        <f>IF(listing_areas!C347&lt;&gt;"",listing_areas!C347,NA())</f>
        <v/>
      </c>
      <c r="V350">
        <f>IF(listing_areas!C347&lt;&gt;"",listing_areas!D347,NA())</f>
        <v/>
      </c>
    </row>
    <row r="351">
      <c r="U351">
        <f>IF(listing_areas!C348&lt;&gt;"",listing_areas!C348,NA())</f>
        <v/>
      </c>
      <c r="V351">
        <f>IF(listing_areas!C348&lt;&gt;"",listing_areas!D348,NA())</f>
        <v/>
      </c>
    </row>
    <row r="352">
      <c r="U352">
        <f>IF(listing_areas!C349&lt;&gt;"",listing_areas!C349,NA())</f>
        <v/>
      </c>
      <c r="V352">
        <f>IF(listing_areas!C349&lt;&gt;"",listing_areas!D349,NA())</f>
        <v/>
      </c>
    </row>
    <row r="353">
      <c r="U353">
        <f>IF(listing_areas!C350&lt;&gt;"",listing_areas!C350,NA())</f>
        <v/>
      </c>
      <c r="V353">
        <f>IF(listing_areas!C350&lt;&gt;"",listing_areas!D350,NA())</f>
        <v/>
      </c>
    </row>
    <row r="354">
      <c r="U354">
        <f>IF(listing_areas!C351&lt;&gt;"",listing_areas!C351,NA())</f>
        <v/>
      </c>
      <c r="V354">
        <f>IF(listing_areas!C351&lt;&gt;"",listing_areas!D351,NA())</f>
        <v/>
      </c>
    </row>
    <row r="355">
      <c r="U355">
        <f>IF(listing_areas!C352&lt;&gt;"",listing_areas!C352,NA())</f>
        <v/>
      </c>
      <c r="V355">
        <f>IF(listing_areas!C352&lt;&gt;"",listing_areas!D352,NA())</f>
        <v/>
      </c>
    </row>
    <row r="356">
      <c r="U356">
        <f>IF(listing_areas!C353&lt;&gt;"",listing_areas!C353,NA())</f>
        <v/>
      </c>
      <c r="V356">
        <f>IF(listing_areas!C353&lt;&gt;"",listing_areas!D353,NA())</f>
        <v/>
      </c>
    </row>
    <row r="357">
      <c r="U357">
        <f>IF(listing_areas!C354&lt;&gt;"",listing_areas!C354,NA())</f>
        <v/>
      </c>
      <c r="V357">
        <f>IF(listing_areas!C354&lt;&gt;"",listing_areas!D354,NA())</f>
        <v/>
      </c>
    </row>
    <row r="358">
      <c r="U358">
        <f>IF(listing_areas!C355&lt;&gt;"",listing_areas!C355,NA())</f>
        <v/>
      </c>
      <c r="V358">
        <f>IF(listing_areas!C355&lt;&gt;"",listing_areas!D355,NA())</f>
        <v/>
      </c>
    </row>
    <row r="359">
      <c r="U359">
        <f>IF(listing_areas!C356&lt;&gt;"",listing_areas!C356,NA())</f>
        <v/>
      </c>
      <c r="V359">
        <f>IF(listing_areas!C356&lt;&gt;"",listing_areas!D356,NA())</f>
        <v/>
      </c>
    </row>
    <row r="360">
      <c r="U360">
        <f>IF(listing_areas!C357&lt;&gt;"",listing_areas!C357,NA())</f>
        <v/>
      </c>
      <c r="V360">
        <f>IF(listing_areas!C357&lt;&gt;"",listing_areas!D357,NA())</f>
        <v/>
      </c>
    </row>
    <row r="361">
      <c r="U361">
        <f>IF(listing_areas!C358&lt;&gt;"",listing_areas!C358,NA())</f>
        <v/>
      </c>
      <c r="V361">
        <f>IF(listing_areas!C358&lt;&gt;"",listing_areas!D358,NA())</f>
        <v/>
      </c>
    </row>
    <row r="362">
      <c r="U362">
        <f>IF(listing_areas!C359&lt;&gt;"",listing_areas!C359,NA())</f>
        <v/>
      </c>
      <c r="V362">
        <f>IF(listing_areas!C359&lt;&gt;"",listing_areas!D359,NA())</f>
        <v/>
      </c>
    </row>
    <row r="363">
      <c r="U363">
        <f>IF(listing_areas!C360&lt;&gt;"",listing_areas!C360,NA())</f>
        <v/>
      </c>
      <c r="V363">
        <f>IF(listing_areas!C360&lt;&gt;"",listing_areas!D360,NA())</f>
        <v/>
      </c>
    </row>
    <row r="364">
      <c r="U364">
        <f>IF(listing_areas!C361&lt;&gt;"",listing_areas!C361,NA())</f>
        <v/>
      </c>
      <c r="V364">
        <f>IF(listing_areas!C361&lt;&gt;"",listing_areas!D361,NA())</f>
        <v/>
      </c>
    </row>
    <row r="365">
      <c r="U365">
        <f>IF(listing_areas!C362&lt;&gt;"",listing_areas!C362,NA())</f>
        <v/>
      </c>
      <c r="V365">
        <f>IF(listing_areas!C362&lt;&gt;"",listing_areas!D362,NA())</f>
        <v/>
      </c>
    </row>
    <row r="366">
      <c r="U366">
        <f>IF(listing_areas!C363&lt;&gt;"",listing_areas!C363,NA())</f>
        <v/>
      </c>
      <c r="V366">
        <f>IF(listing_areas!C363&lt;&gt;"",listing_areas!D363,NA())</f>
        <v/>
      </c>
    </row>
    <row r="367">
      <c r="U367">
        <f>IF(listing_areas!C364&lt;&gt;"",listing_areas!C364,NA())</f>
        <v/>
      </c>
      <c r="V367">
        <f>IF(listing_areas!C364&lt;&gt;"",listing_areas!D364,NA())</f>
        <v/>
      </c>
    </row>
    <row r="368">
      <c r="U368">
        <f>IF(listing_areas!C365&lt;&gt;"",listing_areas!C365,NA())</f>
        <v/>
      </c>
      <c r="V368">
        <f>IF(listing_areas!C365&lt;&gt;"",listing_areas!D365,NA())</f>
        <v/>
      </c>
    </row>
    <row r="369">
      <c r="U369">
        <f>IF(listing_areas!C366&lt;&gt;"",listing_areas!C366,NA())</f>
        <v/>
      </c>
      <c r="V369">
        <f>IF(listing_areas!C366&lt;&gt;"",listing_areas!D366,NA())</f>
        <v/>
      </c>
    </row>
    <row r="370">
      <c r="U370">
        <f>IF(listing_areas!C367&lt;&gt;"",listing_areas!C367,NA())</f>
        <v/>
      </c>
      <c r="V370">
        <f>IF(listing_areas!C367&lt;&gt;"",listing_areas!D367,NA())</f>
        <v/>
      </c>
    </row>
    <row r="371">
      <c r="U371">
        <f>IF(listing_areas!C368&lt;&gt;"",listing_areas!C368,NA())</f>
        <v/>
      </c>
      <c r="V371">
        <f>IF(listing_areas!C368&lt;&gt;"",listing_areas!D368,NA())</f>
        <v/>
      </c>
    </row>
    <row r="372">
      <c r="U372">
        <f>IF(listing_areas!C369&lt;&gt;"",listing_areas!C369,NA())</f>
        <v/>
      </c>
      <c r="V372">
        <f>IF(listing_areas!C369&lt;&gt;"",listing_areas!D369,NA())</f>
        <v/>
      </c>
    </row>
    <row r="373">
      <c r="U373">
        <f>IF(listing_areas!C370&lt;&gt;"",listing_areas!C370,NA())</f>
        <v/>
      </c>
      <c r="V373">
        <f>IF(listing_areas!C370&lt;&gt;"",listing_areas!D370,NA())</f>
        <v/>
      </c>
    </row>
    <row r="374">
      <c r="U374">
        <f>IF(listing_areas!C371&lt;&gt;"",listing_areas!C371,NA())</f>
        <v/>
      </c>
      <c r="V374">
        <f>IF(listing_areas!C371&lt;&gt;"",listing_areas!D371,NA())</f>
        <v/>
      </c>
    </row>
    <row r="375">
      <c r="U375">
        <f>IF(listing_areas!C372&lt;&gt;"",listing_areas!C372,NA())</f>
        <v/>
      </c>
      <c r="V375">
        <f>IF(listing_areas!C372&lt;&gt;"",listing_areas!D372,NA())</f>
        <v/>
      </c>
    </row>
    <row r="376">
      <c r="U376">
        <f>IF(listing_areas!C373&lt;&gt;"",listing_areas!C373,NA())</f>
        <v/>
      </c>
      <c r="V376">
        <f>IF(listing_areas!C373&lt;&gt;"",listing_areas!D373,NA())</f>
        <v/>
      </c>
    </row>
    <row r="377">
      <c r="U377">
        <f>IF(listing_areas!C374&lt;&gt;"",listing_areas!C374,NA())</f>
        <v/>
      </c>
      <c r="V377">
        <f>IF(listing_areas!C374&lt;&gt;"",listing_areas!D374,NA())</f>
        <v/>
      </c>
    </row>
    <row r="378">
      <c r="U378">
        <f>IF(listing_areas!C375&lt;&gt;"",listing_areas!C375,NA())</f>
        <v/>
      </c>
      <c r="V378">
        <f>IF(listing_areas!C375&lt;&gt;"",listing_areas!D375,NA())</f>
        <v/>
      </c>
    </row>
    <row r="379">
      <c r="U379">
        <f>IF(listing_areas!C376&lt;&gt;"",listing_areas!C376,NA())</f>
        <v/>
      </c>
      <c r="V379">
        <f>IF(listing_areas!C376&lt;&gt;"",listing_areas!D376,NA())</f>
        <v/>
      </c>
    </row>
    <row r="380">
      <c r="U380">
        <f>IF(listing_areas!C377&lt;&gt;"",listing_areas!C377,NA())</f>
        <v/>
      </c>
      <c r="V380">
        <f>IF(listing_areas!C377&lt;&gt;"",listing_areas!D377,NA())</f>
        <v/>
      </c>
    </row>
    <row r="381">
      <c r="U381">
        <f>IF(listing_areas!C378&lt;&gt;"",listing_areas!C378,NA())</f>
        <v/>
      </c>
      <c r="V381">
        <f>IF(listing_areas!C378&lt;&gt;"",listing_areas!D378,NA())</f>
        <v/>
      </c>
    </row>
    <row r="382">
      <c r="U382">
        <f>IF(listing_areas!C379&lt;&gt;"",listing_areas!C379,NA())</f>
        <v/>
      </c>
      <c r="V382">
        <f>IF(listing_areas!C379&lt;&gt;"",listing_areas!D379,NA())</f>
        <v/>
      </c>
    </row>
    <row r="383">
      <c r="U383">
        <f>IF(listing_areas!C380&lt;&gt;"",listing_areas!C380,NA())</f>
        <v/>
      </c>
      <c r="V383">
        <f>IF(listing_areas!C380&lt;&gt;"",listing_areas!D380,NA())</f>
        <v/>
      </c>
    </row>
    <row r="384">
      <c r="U384">
        <f>IF(listing_areas!C381&lt;&gt;"",listing_areas!C381,NA())</f>
        <v/>
      </c>
      <c r="V384">
        <f>IF(listing_areas!C381&lt;&gt;"",listing_areas!D381,NA())</f>
        <v/>
      </c>
    </row>
    <row r="385">
      <c r="U385">
        <f>IF(listing_areas!C382&lt;&gt;"",listing_areas!C382,NA())</f>
        <v/>
      </c>
      <c r="V385">
        <f>IF(listing_areas!C382&lt;&gt;"",listing_areas!D382,NA())</f>
        <v/>
      </c>
    </row>
    <row r="386">
      <c r="U386">
        <f>IF(listing_areas!C383&lt;&gt;"",listing_areas!C383,NA())</f>
        <v/>
      </c>
      <c r="V386">
        <f>IF(listing_areas!C383&lt;&gt;"",listing_areas!D383,NA())</f>
        <v/>
      </c>
    </row>
    <row r="387">
      <c r="U387">
        <f>IF(listing_areas!C384&lt;&gt;"",listing_areas!C384,NA())</f>
        <v/>
      </c>
      <c r="V387">
        <f>IF(listing_areas!C384&lt;&gt;"",listing_areas!D384,NA())</f>
        <v/>
      </c>
    </row>
    <row r="388">
      <c r="U388">
        <f>IF(listing_areas!C385&lt;&gt;"",listing_areas!C385,NA())</f>
        <v/>
      </c>
      <c r="V388">
        <f>IF(listing_areas!C385&lt;&gt;"",listing_areas!D385,NA())</f>
        <v/>
      </c>
    </row>
    <row r="389">
      <c r="U389">
        <f>IF(listing_areas!C386&lt;&gt;"",listing_areas!C386,NA())</f>
        <v/>
      </c>
      <c r="V389">
        <f>IF(listing_areas!C386&lt;&gt;"",listing_areas!D386,NA())</f>
        <v/>
      </c>
    </row>
    <row r="390">
      <c r="U390">
        <f>IF(listing_areas!C387&lt;&gt;"",listing_areas!C387,NA())</f>
        <v/>
      </c>
      <c r="V390">
        <f>IF(listing_areas!C387&lt;&gt;"",listing_areas!D387,NA())</f>
        <v/>
      </c>
    </row>
    <row r="391">
      <c r="U391">
        <f>IF(listing_areas!C388&lt;&gt;"",listing_areas!C388,NA())</f>
        <v/>
      </c>
      <c r="V391">
        <f>IF(listing_areas!C388&lt;&gt;"",listing_areas!D388,NA())</f>
        <v/>
      </c>
    </row>
    <row r="392">
      <c r="U392">
        <f>IF(listing_areas!C389&lt;&gt;"",listing_areas!C389,NA())</f>
        <v/>
      </c>
      <c r="V392">
        <f>IF(listing_areas!C389&lt;&gt;"",listing_areas!D389,NA())</f>
        <v/>
      </c>
    </row>
    <row r="393">
      <c r="U393">
        <f>IF(listing_areas!C390&lt;&gt;"",listing_areas!C390,NA())</f>
        <v/>
      </c>
      <c r="V393">
        <f>IF(listing_areas!C390&lt;&gt;"",listing_areas!D390,NA())</f>
        <v/>
      </c>
    </row>
    <row r="394">
      <c r="U394">
        <f>IF(listing_areas!C391&lt;&gt;"",listing_areas!C391,NA())</f>
        <v/>
      </c>
      <c r="V394">
        <f>IF(listing_areas!C391&lt;&gt;"",listing_areas!D391,NA())</f>
        <v/>
      </c>
    </row>
    <row r="395">
      <c r="U395">
        <f>IF(listing_areas!C392&lt;&gt;"",listing_areas!C392,NA())</f>
        <v/>
      </c>
      <c r="V395">
        <f>IF(listing_areas!C392&lt;&gt;"",listing_areas!D392,NA())</f>
        <v/>
      </c>
    </row>
    <row r="396">
      <c r="U396">
        <f>IF(listing_areas!C393&lt;&gt;"",listing_areas!C393,NA())</f>
        <v/>
      </c>
      <c r="V396">
        <f>IF(listing_areas!C393&lt;&gt;"",listing_areas!D393,NA())</f>
        <v/>
      </c>
    </row>
    <row r="397">
      <c r="U397">
        <f>IF(listing_areas!C394&lt;&gt;"",listing_areas!C394,NA())</f>
        <v/>
      </c>
      <c r="V397">
        <f>IF(listing_areas!C394&lt;&gt;"",listing_areas!D394,NA())</f>
        <v/>
      </c>
    </row>
    <row r="398">
      <c r="U398">
        <f>IF(listing_areas!C395&lt;&gt;"",listing_areas!C395,NA())</f>
        <v/>
      </c>
      <c r="V398">
        <f>IF(listing_areas!C395&lt;&gt;"",listing_areas!D395,NA())</f>
        <v/>
      </c>
    </row>
    <row r="399">
      <c r="U399">
        <f>IF(listing_areas!C396&lt;&gt;"",listing_areas!C396,NA())</f>
        <v/>
      </c>
      <c r="V399">
        <f>IF(listing_areas!C396&lt;&gt;"",listing_areas!D396,NA())</f>
        <v/>
      </c>
    </row>
    <row r="400">
      <c r="U400">
        <f>IF(listing_areas!C397&lt;&gt;"",listing_areas!C397,NA())</f>
        <v/>
      </c>
      <c r="V400">
        <f>IF(listing_areas!C397&lt;&gt;"",listing_areas!D397,NA())</f>
        <v/>
      </c>
    </row>
    <row r="401">
      <c r="U401">
        <f>IF(listing_areas!C398&lt;&gt;"",listing_areas!C398,NA())</f>
        <v/>
      </c>
      <c r="V401">
        <f>IF(listing_areas!C398&lt;&gt;"",listing_areas!D398,NA())</f>
        <v/>
      </c>
    </row>
    <row r="402">
      <c r="U402">
        <f>IF(listing_areas!C399&lt;&gt;"",listing_areas!C399,NA())</f>
        <v/>
      </c>
      <c r="V402">
        <f>IF(listing_areas!C399&lt;&gt;"",listing_areas!D399,NA())</f>
        <v/>
      </c>
    </row>
    <row r="403">
      <c r="U403">
        <f>IF(listing_areas!C400&lt;&gt;"",listing_areas!C400,NA())</f>
        <v/>
      </c>
      <c r="V403">
        <f>IF(listing_areas!C400&lt;&gt;"",listing_areas!D400,NA())</f>
        <v/>
      </c>
    </row>
    <row r="404">
      <c r="U404">
        <f>IF(listing_areas!C401&lt;&gt;"",listing_areas!C401,NA())</f>
        <v/>
      </c>
      <c r="V404">
        <f>IF(listing_areas!C401&lt;&gt;"",listing_areas!D401,NA())</f>
        <v/>
      </c>
    </row>
    <row r="405">
      <c r="U405">
        <f>IF(listing_areas!C402&lt;&gt;"",listing_areas!C402,NA())</f>
        <v/>
      </c>
      <c r="V405">
        <f>IF(listing_areas!C402&lt;&gt;"",listing_areas!D402,NA())</f>
        <v/>
      </c>
    </row>
    <row r="406">
      <c r="U406">
        <f>IF(listing_areas!C403&lt;&gt;"",listing_areas!C403,NA())</f>
        <v/>
      </c>
      <c r="V406">
        <f>IF(listing_areas!C403&lt;&gt;"",listing_areas!D403,NA())</f>
        <v/>
      </c>
    </row>
    <row r="407">
      <c r="U407">
        <f>IF(listing_areas!C404&lt;&gt;"",listing_areas!C404,NA())</f>
        <v/>
      </c>
      <c r="V407">
        <f>IF(listing_areas!C404&lt;&gt;"",listing_areas!D404,NA())</f>
        <v/>
      </c>
    </row>
    <row r="408">
      <c r="U408">
        <f>IF(listing_areas!C405&lt;&gt;"",listing_areas!C405,NA())</f>
        <v/>
      </c>
      <c r="V408">
        <f>IF(listing_areas!C405&lt;&gt;"",listing_areas!D405,NA())</f>
        <v/>
      </c>
    </row>
    <row r="409">
      <c r="U409">
        <f>IF(listing_areas!C406&lt;&gt;"",listing_areas!C406,NA())</f>
        <v/>
      </c>
      <c r="V409">
        <f>IF(listing_areas!C406&lt;&gt;"",listing_areas!D406,NA())</f>
        <v/>
      </c>
    </row>
    <row r="410">
      <c r="U410">
        <f>IF(listing_areas!C407&lt;&gt;"",listing_areas!C407,NA())</f>
        <v/>
      </c>
      <c r="V410">
        <f>IF(listing_areas!C407&lt;&gt;"",listing_areas!D407,NA())</f>
        <v/>
      </c>
    </row>
    <row r="411">
      <c r="U411">
        <f>IF(listing_areas!C408&lt;&gt;"",listing_areas!C408,NA())</f>
        <v/>
      </c>
      <c r="V411">
        <f>IF(listing_areas!C408&lt;&gt;"",listing_areas!D408,NA())</f>
        <v/>
      </c>
    </row>
    <row r="412">
      <c r="U412">
        <f>IF(listing_areas!C409&lt;&gt;"",listing_areas!C409,NA())</f>
        <v/>
      </c>
      <c r="V412">
        <f>IF(listing_areas!C409&lt;&gt;"",listing_areas!D409,NA())</f>
        <v/>
      </c>
    </row>
    <row r="413">
      <c r="U413">
        <f>IF(listing_areas!C410&lt;&gt;"",listing_areas!C410,NA())</f>
        <v/>
      </c>
      <c r="V413">
        <f>IF(listing_areas!C410&lt;&gt;"",listing_areas!D410,NA())</f>
        <v/>
      </c>
    </row>
    <row r="414">
      <c r="U414">
        <f>IF(listing_areas!C411&lt;&gt;"",listing_areas!C411,NA())</f>
        <v/>
      </c>
      <c r="V414">
        <f>IF(listing_areas!C411&lt;&gt;"",listing_areas!D411,NA())</f>
        <v/>
      </c>
    </row>
    <row r="415">
      <c r="U415">
        <f>IF(listing_areas!C412&lt;&gt;"",listing_areas!C412,NA())</f>
        <v/>
      </c>
      <c r="V415">
        <f>IF(listing_areas!C412&lt;&gt;"",listing_areas!D412,NA())</f>
        <v/>
      </c>
    </row>
    <row r="416">
      <c r="U416">
        <f>IF(listing_areas!C413&lt;&gt;"",listing_areas!C413,NA())</f>
        <v/>
      </c>
      <c r="V416">
        <f>IF(listing_areas!C413&lt;&gt;"",listing_areas!D413,NA())</f>
        <v/>
      </c>
    </row>
    <row r="417">
      <c r="U417">
        <f>IF(listing_areas!C414&lt;&gt;"",listing_areas!C414,NA())</f>
        <v/>
      </c>
      <c r="V417">
        <f>IF(listing_areas!C414&lt;&gt;"",listing_areas!D414,NA())</f>
        <v/>
      </c>
    </row>
    <row r="418">
      <c r="U418">
        <f>IF(listing_areas!C415&lt;&gt;"",listing_areas!C415,NA())</f>
        <v/>
      </c>
      <c r="V418">
        <f>IF(listing_areas!C415&lt;&gt;"",listing_areas!D415,NA())</f>
        <v/>
      </c>
    </row>
    <row r="419">
      <c r="U419">
        <f>IF(listing_areas!C416&lt;&gt;"",listing_areas!C416,NA())</f>
        <v/>
      </c>
      <c r="V419">
        <f>IF(listing_areas!C416&lt;&gt;"",listing_areas!D416,NA())</f>
        <v/>
      </c>
    </row>
    <row r="420">
      <c r="U420">
        <f>IF(listing_areas!C417&lt;&gt;"",listing_areas!C417,NA())</f>
        <v/>
      </c>
      <c r="V420">
        <f>IF(listing_areas!C417&lt;&gt;"",listing_areas!D417,NA())</f>
        <v/>
      </c>
    </row>
    <row r="421">
      <c r="U421">
        <f>IF(listing_areas!C418&lt;&gt;"",listing_areas!C418,NA())</f>
        <v/>
      </c>
      <c r="V421">
        <f>IF(listing_areas!C418&lt;&gt;"",listing_areas!D418,NA())</f>
        <v/>
      </c>
    </row>
    <row r="422">
      <c r="U422">
        <f>IF(listing_areas!C419&lt;&gt;"",listing_areas!C419,NA())</f>
        <v/>
      </c>
      <c r="V422">
        <f>IF(listing_areas!C419&lt;&gt;"",listing_areas!D419,NA())</f>
        <v/>
      </c>
    </row>
    <row r="423">
      <c r="U423">
        <f>IF(listing_areas!C420&lt;&gt;"",listing_areas!C420,NA())</f>
        <v/>
      </c>
      <c r="V423">
        <f>IF(listing_areas!C420&lt;&gt;"",listing_areas!D420,NA())</f>
        <v/>
      </c>
    </row>
    <row r="424">
      <c r="U424">
        <f>IF(listing_areas!C421&lt;&gt;"",listing_areas!C421,NA())</f>
        <v/>
      </c>
      <c r="V424">
        <f>IF(listing_areas!C421&lt;&gt;"",listing_areas!D421,NA())</f>
        <v/>
      </c>
    </row>
    <row r="425">
      <c r="U425">
        <f>IF(listing_areas!C422&lt;&gt;"",listing_areas!C422,NA())</f>
        <v/>
      </c>
      <c r="V425">
        <f>IF(listing_areas!C422&lt;&gt;"",listing_areas!D422,NA())</f>
        <v/>
      </c>
    </row>
    <row r="426">
      <c r="U426">
        <f>IF(listing_areas!C423&lt;&gt;"",listing_areas!C423,NA())</f>
        <v/>
      </c>
      <c r="V426">
        <f>IF(listing_areas!C423&lt;&gt;"",listing_areas!D423,NA())</f>
        <v/>
      </c>
    </row>
    <row r="427">
      <c r="U427">
        <f>IF(listing_areas!C424&lt;&gt;"",listing_areas!C424,NA())</f>
        <v/>
      </c>
      <c r="V427">
        <f>IF(listing_areas!C424&lt;&gt;"",listing_areas!D424,NA())</f>
        <v/>
      </c>
    </row>
    <row r="428">
      <c r="U428">
        <f>IF(listing_areas!C425&lt;&gt;"",listing_areas!C425,NA())</f>
        <v/>
      </c>
      <c r="V428">
        <f>IF(listing_areas!C425&lt;&gt;"",listing_areas!D425,NA())</f>
        <v/>
      </c>
    </row>
    <row r="429">
      <c r="U429">
        <f>IF(listing_areas!C426&lt;&gt;"",listing_areas!C426,NA())</f>
        <v/>
      </c>
      <c r="V429">
        <f>IF(listing_areas!C426&lt;&gt;"",listing_areas!D426,NA())</f>
        <v/>
      </c>
    </row>
    <row r="430">
      <c r="U430">
        <f>IF(listing_areas!C427&lt;&gt;"",listing_areas!C427,NA())</f>
        <v/>
      </c>
      <c r="V430">
        <f>IF(listing_areas!C427&lt;&gt;"",listing_areas!D427,NA())</f>
        <v/>
      </c>
    </row>
    <row r="431">
      <c r="U431">
        <f>IF(listing_areas!C428&lt;&gt;"",listing_areas!C428,NA())</f>
        <v/>
      </c>
      <c r="V431">
        <f>IF(listing_areas!C428&lt;&gt;"",listing_areas!D428,NA())</f>
        <v/>
      </c>
    </row>
    <row r="432">
      <c r="U432">
        <f>IF(listing_areas!C429&lt;&gt;"",listing_areas!C429,NA())</f>
        <v/>
      </c>
      <c r="V432">
        <f>IF(listing_areas!C429&lt;&gt;"",listing_areas!D429,NA())</f>
        <v/>
      </c>
    </row>
    <row r="433">
      <c r="U433">
        <f>IF(listing_areas!C430&lt;&gt;"",listing_areas!C430,NA())</f>
        <v/>
      </c>
      <c r="V433">
        <f>IF(listing_areas!C430&lt;&gt;"",listing_areas!D430,NA())</f>
        <v/>
      </c>
    </row>
    <row r="434">
      <c r="U434">
        <f>IF(listing_areas!C431&lt;&gt;"",listing_areas!C431,NA())</f>
        <v/>
      </c>
      <c r="V434">
        <f>IF(listing_areas!C431&lt;&gt;"",listing_areas!D431,NA())</f>
        <v/>
      </c>
    </row>
    <row r="435">
      <c r="U435">
        <f>IF(listing_areas!C432&lt;&gt;"",listing_areas!C432,NA())</f>
        <v/>
      </c>
      <c r="V435">
        <f>IF(listing_areas!C432&lt;&gt;"",listing_areas!D432,NA())</f>
        <v/>
      </c>
    </row>
    <row r="436">
      <c r="U436">
        <f>IF(listing_areas!C433&lt;&gt;"",listing_areas!C433,NA())</f>
        <v/>
      </c>
      <c r="V436">
        <f>IF(listing_areas!C433&lt;&gt;"",listing_areas!D433,NA())</f>
        <v/>
      </c>
    </row>
    <row r="437">
      <c r="U437">
        <f>IF(listing_areas!C434&lt;&gt;"",listing_areas!C434,NA())</f>
        <v/>
      </c>
      <c r="V437">
        <f>IF(listing_areas!C434&lt;&gt;"",listing_areas!D434,NA())</f>
        <v/>
      </c>
    </row>
    <row r="438">
      <c r="U438">
        <f>IF(listing_areas!C435&lt;&gt;"",listing_areas!C435,NA())</f>
        <v/>
      </c>
      <c r="V438">
        <f>IF(listing_areas!C435&lt;&gt;"",listing_areas!D435,NA())</f>
        <v/>
      </c>
    </row>
    <row r="439">
      <c r="U439">
        <f>IF(listing_areas!C436&lt;&gt;"",listing_areas!C436,NA())</f>
        <v/>
      </c>
      <c r="V439">
        <f>IF(listing_areas!C436&lt;&gt;"",listing_areas!D436,NA())</f>
        <v/>
      </c>
    </row>
    <row r="440">
      <c r="U440">
        <f>IF(listing_areas!C437&lt;&gt;"",listing_areas!C437,NA())</f>
        <v/>
      </c>
      <c r="V440">
        <f>IF(listing_areas!C437&lt;&gt;"",listing_areas!D437,NA())</f>
        <v/>
      </c>
    </row>
    <row r="441">
      <c r="U441">
        <f>IF(listing_areas!C438&lt;&gt;"",listing_areas!C438,NA())</f>
        <v/>
      </c>
      <c r="V441">
        <f>IF(listing_areas!C438&lt;&gt;"",listing_areas!D438,NA())</f>
        <v/>
      </c>
    </row>
    <row r="442">
      <c r="U442">
        <f>IF(listing_areas!C439&lt;&gt;"",listing_areas!C439,NA())</f>
        <v/>
      </c>
      <c r="V442">
        <f>IF(listing_areas!C439&lt;&gt;"",listing_areas!D439,NA())</f>
        <v/>
      </c>
    </row>
    <row r="443">
      <c r="U443">
        <f>IF(listing_areas!C440&lt;&gt;"",listing_areas!C440,NA())</f>
        <v/>
      </c>
      <c r="V443">
        <f>IF(listing_areas!C440&lt;&gt;"",listing_areas!D440,NA())</f>
        <v/>
      </c>
    </row>
    <row r="444">
      <c r="U444">
        <f>IF(listing_areas!C441&lt;&gt;"",listing_areas!C441,NA())</f>
        <v/>
      </c>
      <c r="V444">
        <f>IF(listing_areas!C441&lt;&gt;"",listing_areas!D441,NA())</f>
        <v/>
      </c>
    </row>
    <row r="445">
      <c r="U445">
        <f>IF(listing_areas!C442&lt;&gt;"",listing_areas!C442,NA())</f>
        <v/>
      </c>
      <c r="V445">
        <f>IF(listing_areas!C442&lt;&gt;"",listing_areas!D442,NA())</f>
        <v/>
      </c>
    </row>
    <row r="446">
      <c r="U446">
        <f>IF(listing_areas!C443&lt;&gt;"",listing_areas!C443,NA())</f>
        <v/>
      </c>
      <c r="V446">
        <f>IF(listing_areas!C443&lt;&gt;"",listing_areas!D443,NA())</f>
        <v/>
      </c>
    </row>
    <row r="447">
      <c r="U447">
        <f>IF(listing_areas!C444&lt;&gt;"",listing_areas!C444,NA())</f>
        <v/>
      </c>
      <c r="V447">
        <f>IF(listing_areas!C444&lt;&gt;"",listing_areas!D444,NA())</f>
        <v/>
      </c>
    </row>
    <row r="448">
      <c r="U448">
        <f>IF(listing_areas!C445&lt;&gt;"",listing_areas!C445,NA())</f>
        <v/>
      </c>
      <c r="V448">
        <f>IF(listing_areas!C445&lt;&gt;"",listing_areas!D445,NA())</f>
        <v/>
      </c>
    </row>
    <row r="449">
      <c r="U449">
        <f>IF(listing_areas!C446&lt;&gt;"",listing_areas!C446,NA())</f>
        <v/>
      </c>
      <c r="V449">
        <f>IF(listing_areas!C446&lt;&gt;"",listing_areas!D446,NA())</f>
        <v/>
      </c>
    </row>
    <row r="450">
      <c r="U450">
        <f>IF(listing_areas!C447&lt;&gt;"",listing_areas!C447,NA())</f>
        <v/>
      </c>
      <c r="V450">
        <f>IF(listing_areas!C447&lt;&gt;"",listing_areas!D447,NA())</f>
        <v/>
      </c>
    </row>
    <row r="451">
      <c r="U451">
        <f>IF(listing_areas!C448&lt;&gt;"",listing_areas!C448,NA())</f>
        <v/>
      </c>
      <c r="V451">
        <f>IF(listing_areas!C448&lt;&gt;"",listing_areas!D448,NA())</f>
        <v/>
      </c>
    </row>
    <row r="452">
      <c r="U452">
        <f>IF(listing_areas!C449&lt;&gt;"",listing_areas!C449,NA())</f>
        <v/>
      </c>
      <c r="V452">
        <f>IF(listing_areas!C449&lt;&gt;"",listing_areas!D449,NA())</f>
        <v/>
      </c>
    </row>
    <row r="453">
      <c r="U453">
        <f>IF(listing_areas!C450&lt;&gt;"",listing_areas!C450,NA())</f>
        <v/>
      </c>
      <c r="V453">
        <f>IF(listing_areas!C450&lt;&gt;"",listing_areas!D450,NA())</f>
        <v/>
      </c>
    </row>
    <row r="454">
      <c r="U454">
        <f>IF(listing_areas!C451&lt;&gt;"",listing_areas!C451,NA())</f>
        <v/>
      </c>
      <c r="V454">
        <f>IF(listing_areas!C451&lt;&gt;"",listing_areas!D451,NA())</f>
        <v/>
      </c>
    </row>
    <row r="455">
      <c r="U455">
        <f>IF(listing_areas!C452&lt;&gt;"",listing_areas!C452,NA())</f>
        <v/>
      </c>
      <c r="V455">
        <f>IF(listing_areas!C452&lt;&gt;"",listing_areas!D452,NA())</f>
        <v/>
      </c>
    </row>
    <row r="456">
      <c r="U456">
        <f>IF(listing_areas!C453&lt;&gt;"",listing_areas!C453,NA())</f>
        <v/>
      </c>
      <c r="V456">
        <f>IF(listing_areas!C453&lt;&gt;"",listing_areas!D453,NA())</f>
        <v/>
      </c>
    </row>
    <row r="457">
      <c r="U457">
        <f>IF(listing_areas!C454&lt;&gt;"",listing_areas!C454,NA())</f>
        <v/>
      </c>
      <c r="V457">
        <f>IF(listing_areas!C454&lt;&gt;"",listing_areas!D454,NA())</f>
        <v/>
      </c>
    </row>
    <row r="458">
      <c r="U458">
        <f>IF(listing_areas!C455&lt;&gt;"",listing_areas!C455,NA())</f>
        <v/>
      </c>
      <c r="V458">
        <f>IF(listing_areas!C455&lt;&gt;"",listing_areas!D455,NA())</f>
        <v/>
      </c>
    </row>
    <row r="459">
      <c r="U459">
        <f>IF(listing_areas!C456&lt;&gt;"",listing_areas!C456,NA())</f>
        <v/>
      </c>
      <c r="V459">
        <f>IF(listing_areas!C456&lt;&gt;"",listing_areas!D456,NA())</f>
        <v/>
      </c>
    </row>
    <row r="460">
      <c r="U460">
        <f>IF(listing_areas!C457&lt;&gt;"",listing_areas!C457,NA())</f>
        <v/>
      </c>
      <c r="V460">
        <f>IF(listing_areas!C457&lt;&gt;"",listing_areas!D457,NA())</f>
        <v/>
      </c>
    </row>
    <row r="461">
      <c r="U461">
        <f>IF(listing_areas!C458&lt;&gt;"",listing_areas!C458,NA())</f>
        <v/>
      </c>
      <c r="V461">
        <f>IF(listing_areas!C458&lt;&gt;"",listing_areas!D458,NA())</f>
        <v/>
      </c>
    </row>
    <row r="462">
      <c r="U462">
        <f>IF(listing_areas!C459&lt;&gt;"",listing_areas!C459,NA())</f>
        <v/>
      </c>
      <c r="V462">
        <f>IF(listing_areas!C459&lt;&gt;"",listing_areas!D459,NA())</f>
        <v/>
      </c>
    </row>
    <row r="463">
      <c r="U463">
        <f>IF(listing_areas!C460&lt;&gt;"",listing_areas!C460,NA())</f>
        <v/>
      </c>
      <c r="V463">
        <f>IF(listing_areas!C460&lt;&gt;"",listing_areas!D460,NA())</f>
        <v/>
      </c>
    </row>
    <row r="464">
      <c r="U464">
        <f>IF(listing_areas!C461&lt;&gt;"",listing_areas!C461,NA())</f>
        <v/>
      </c>
      <c r="V464">
        <f>IF(listing_areas!C461&lt;&gt;"",listing_areas!D461,NA())</f>
        <v/>
      </c>
    </row>
    <row r="465">
      <c r="U465">
        <f>IF(listing_areas!C462&lt;&gt;"",listing_areas!C462,NA())</f>
        <v/>
      </c>
      <c r="V465">
        <f>IF(listing_areas!C462&lt;&gt;"",listing_areas!D462,NA())</f>
        <v/>
      </c>
    </row>
    <row r="466">
      <c r="U466">
        <f>IF(listing_areas!C463&lt;&gt;"",listing_areas!C463,NA())</f>
        <v/>
      </c>
      <c r="V466">
        <f>IF(listing_areas!C463&lt;&gt;"",listing_areas!D463,NA())</f>
        <v/>
      </c>
    </row>
    <row r="467">
      <c r="U467">
        <f>IF(listing_areas!C464&lt;&gt;"",listing_areas!C464,NA())</f>
        <v/>
      </c>
      <c r="V467">
        <f>IF(listing_areas!C464&lt;&gt;"",listing_areas!D464,NA())</f>
        <v/>
      </c>
    </row>
    <row r="468">
      <c r="U468">
        <f>IF(listing_areas!C465&lt;&gt;"",listing_areas!C465,NA())</f>
        <v/>
      </c>
      <c r="V468">
        <f>IF(listing_areas!C465&lt;&gt;"",listing_areas!D465,NA())</f>
        <v/>
      </c>
    </row>
    <row r="469">
      <c r="U469">
        <f>IF(listing_areas!C466&lt;&gt;"",listing_areas!C466,NA())</f>
        <v/>
      </c>
      <c r="V469">
        <f>IF(listing_areas!C466&lt;&gt;"",listing_areas!D466,NA())</f>
        <v/>
      </c>
    </row>
    <row r="470">
      <c r="U470">
        <f>IF(listing_areas!C467&lt;&gt;"",listing_areas!C467,NA())</f>
        <v/>
      </c>
      <c r="V470">
        <f>IF(listing_areas!C467&lt;&gt;"",listing_areas!D467,NA())</f>
        <v/>
      </c>
    </row>
    <row r="471">
      <c r="U471">
        <f>IF(listing_areas!C468&lt;&gt;"",listing_areas!C468,NA())</f>
        <v/>
      </c>
      <c r="V471">
        <f>IF(listing_areas!C468&lt;&gt;"",listing_areas!D468,NA())</f>
        <v/>
      </c>
    </row>
    <row r="472">
      <c r="U472">
        <f>IF(listing_areas!C469&lt;&gt;"",listing_areas!C469,NA())</f>
        <v/>
      </c>
      <c r="V472">
        <f>IF(listing_areas!C469&lt;&gt;"",listing_areas!D469,NA())</f>
        <v/>
      </c>
    </row>
    <row r="473">
      <c r="U473">
        <f>IF(listing_areas!C470&lt;&gt;"",listing_areas!C470,NA())</f>
        <v/>
      </c>
      <c r="V473">
        <f>IF(listing_areas!C470&lt;&gt;"",listing_areas!D470,NA())</f>
        <v/>
      </c>
    </row>
    <row r="474">
      <c r="U474">
        <f>IF(listing_areas!C471&lt;&gt;"",listing_areas!C471,NA())</f>
        <v/>
      </c>
      <c r="V474">
        <f>IF(listing_areas!C471&lt;&gt;"",listing_areas!D471,NA())</f>
        <v/>
      </c>
    </row>
    <row r="475">
      <c r="U475">
        <f>IF(listing_areas!C472&lt;&gt;"",listing_areas!C472,NA())</f>
        <v/>
      </c>
      <c r="V475">
        <f>IF(listing_areas!C472&lt;&gt;"",listing_areas!D472,NA())</f>
        <v/>
      </c>
    </row>
    <row r="476">
      <c r="U476">
        <f>IF(listing_areas!C473&lt;&gt;"",listing_areas!C473,NA())</f>
        <v/>
      </c>
      <c r="V476">
        <f>IF(listing_areas!C473&lt;&gt;"",listing_areas!D473,NA())</f>
        <v/>
      </c>
    </row>
    <row r="477">
      <c r="U477">
        <f>IF(listing_areas!C474&lt;&gt;"",listing_areas!C474,NA())</f>
        <v/>
      </c>
      <c r="V477">
        <f>IF(listing_areas!C474&lt;&gt;"",listing_areas!D474,NA())</f>
        <v/>
      </c>
    </row>
    <row r="478">
      <c r="U478">
        <f>IF(listing_areas!C475&lt;&gt;"",listing_areas!C475,NA())</f>
        <v/>
      </c>
      <c r="V478">
        <f>IF(listing_areas!C475&lt;&gt;"",listing_areas!D475,NA())</f>
        <v/>
      </c>
    </row>
    <row r="479">
      <c r="U479">
        <f>IF(listing_areas!C476&lt;&gt;"",listing_areas!C476,NA())</f>
        <v/>
      </c>
      <c r="V479">
        <f>IF(listing_areas!C476&lt;&gt;"",listing_areas!D476,NA())</f>
        <v/>
      </c>
    </row>
    <row r="480">
      <c r="U480">
        <f>IF(listing_areas!C477&lt;&gt;"",listing_areas!C477,NA())</f>
        <v/>
      </c>
      <c r="V480">
        <f>IF(listing_areas!C477&lt;&gt;"",listing_areas!D477,NA())</f>
        <v/>
      </c>
    </row>
    <row r="481">
      <c r="U481">
        <f>IF(listing_areas!C478&lt;&gt;"",listing_areas!C478,NA())</f>
        <v/>
      </c>
      <c r="V481">
        <f>IF(listing_areas!C478&lt;&gt;"",listing_areas!D478,NA())</f>
        <v/>
      </c>
    </row>
    <row r="482">
      <c r="U482">
        <f>IF(listing_areas!C479&lt;&gt;"",listing_areas!C479,NA())</f>
        <v/>
      </c>
      <c r="V482">
        <f>IF(listing_areas!C479&lt;&gt;"",listing_areas!D479,NA())</f>
        <v/>
      </c>
    </row>
    <row r="483">
      <c r="U483">
        <f>IF(listing_areas!C480&lt;&gt;"",listing_areas!C480,NA())</f>
        <v/>
      </c>
      <c r="V483">
        <f>IF(listing_areas!C480&lt;&gt;"",listing_areas!D480,NA())</f>
        <v/>
      </c>
    </row>
    <row r="484">
      <c r="U484">
        <f>IF(listing_areas!C481&lt;&gt;"",listing_areas!C481,NA())</f>
        <v/>
      </c>
      <c r="V484">
        <f>IF(listing_areas!C481&lt;&gt;"",listing_areas!D481,NA())</f>
        <v/>
      </c>
    </row>
    <row r="485">
      <c r="U485">
        <f>IF(listing_areas!C482&lt;&gt;"",listing_areas!C482,NA())</f>
        <v/>
      </c>
      <c r="V485">
        <f>IF(listing_areas!C482&lt;&gt;"",listing_areas!D482,NA())</f>
        <v/>
      </c>
    </row>
    <row r="486">
      <c r="U486">
        <f>IF(listing_areas!C483&lt;&gt;"",listing_areas!C483,NA())</f>
        <v/>
      </c>
      <c r="V486">
        <f>IF(listing_areas!C483&lt;&gt;"",listing_areas!D483,NA())</f>
        <v/>
      </c>
    </row>
    <row r="487">
      <c r="U487">
        <f>IF(listing_areas!C484&lt;&gt;"",listing_areas!C484,NA())</f>
        <v/>
      </c>
      <c r="V487">
        <f>IF(listing_areas!C484&lt;&gt;"",listing_areas!D484,NA())</f>
        <v/>
      </c>
    </row>
    <row r="488">
      <c r="U488">
        <f>IF(listing_areas!C485&lt;&gt;"",listing_areas!C485,NA())</f>
        <v/>
      </c>
      <c r="V488">
        <f>IF(listing_areas!C485&lt;&gt;"",listing_areas!D485,NA())</f>
        <v/>
      </c>
    </row>
    <row r="489">
      <c r="U489">
        <f>IF(listing_areas!C486&lt;&gt;"",listing_areas!C486,NA())</f>
        <v/>
      </c>
      <c r="V489">
        <f>IF(listing_areas!C486&lt;&gt;"",listing_areas!D486,NA())</f>
        <v/>
      </c>
    </row>
    <row r="490">
      <c r="U490">
        <f>IF(listing_areas!C487&lt;&gt;"",listing_areas!C487,NA())</f>
        <v/>
      </c>
      <c r="V490">
        <f>IF(listing_areas!C487&lt;&gt;"",listing_areas!D487,NA())</f>
        <v/>
      </c>
    </row>
    <row r="491">
      <c r="U491">
        <f>IF(listing_areas!C488&lt;&gt;"",listing_areas!C488,NA())</f>
        <v/>
      </c>
      <c r="V491">
        <f>IF(listing_areas!C488&lt;&gt;"",listing_areas!D488,NA())</f>
        <v/>
      </c>
    </row>
    <row r="492">
      <c r="U492">
        <f>IF(listing_areas!C489&lt;&gt;"",listing_areas!C489,NA())</f>
        <v/>
      </c>
      <c r="V492">
        <f>IF(listing_areas!C489&lt;&gt;"",listing_areas!D489,NA())</f>
        <v/>
      </c>
    </row>
    <row r="493">
      <c r="U493">
        <f>IF(listing_areas!C490&lt;&gt;"",listing_areas!C490,NA())</f>
        <v/>
      </c>
      <c r="V493">
        <f>IF(listing_areas!C490&lt;&gt;"",listing_areas!D490,NA())</f>
        <v/>
      </c>
    </row>
    <row r="494">
      <c r="U494">
        <f>IF(listing_areas!C491&lt;&gt;"",listing_areas!C491,NA())</f>
        <v/>
      </c>
      <c r="V494">
        <f>IF(listing_areas!C491&lt;&gt;"",listing_areas!D491,NA())</f>
        <v/>
      </c>
    </row>
    <row r="495">
      <c r="U495">
        <f>IF(listing_areas!C492&lt;&gt;"",listing_areas!C492,NA())</f>
        <v/>
      </c>
      <c r="V495">
        <f>IF(listing_areas!C492&lt;&gt;"",listing_areas!D492,NA())</f>
        <v/>
      </c>
    </row>
    <row r="496">
      <c r="U496">
        <f>IF(listing_areas!C493&lt;&gt;"",listing_areas!C493,NA())</f>
        <v/>
      </c>
      <c r="V496">
        <f>IF(listing_areas!C493&lt;&gt;"",listing_areas!D493,NA())</f>
        <v/>
      </c>
    </row>
    <row r="497">
      <c r="U497">
        <f>IF(listing_areas!C494&lt;&gt;"",listing_areas!C494,NA())</f>
        <v/>
      </c>
      <c r="V497">
        <f>IF(listing_areas!C494&lt;&gt;"",listing_areas!D494,NA())</f>
        <v/>
      </c>
    </row>
    <row r="498">
      <c r="U498">
        <f>IF(listing_areas!C495&lt;&gt;"",listing_areas!C495,NA())</f>
        <v/>
      </c>
      <c r="V498">
        <f>IF(listing_areas!C495&lt;&gt;"",listing_areas!D495,NA())</f>
        <v/>
      </c>
    </row>
    <row r="499">
      <c r="U499">
        <f>IF(listing_areas!C496&lt;&gt;"",listing_areas!C496,NA())</f>
        <v/>
      </c>
      <c r="V499">
        <f>IF(listing_areas!C496&lt;&gt;"",listing_areas!D496,NA())</f>
        <v/>
      </c>
    </row>
    <row r="500">
      <c r="U500">
        <f>IF(listing_areas!C497&lt;&gt;"",listing_areas!C497,NA())</f>
        <v/>
      </c>
      <c r="V500">
        <f>IF(listing_areas!C497&lt;&gt;"",listing_areas!D497,NA())</f>
        <v/>
      </c>
    </row>
    <row r="501">
      <c r="U501">
        <f>IF(listing_areas!C498&lt;&gt;"",listing_areas!C498,NA())</f>
        <v/>
      </c>
      <c r="V501">
        <f>IF(listing_areas!C498&lt;&gt;"",listing_areas!D498,NA())</f>
        <v/>
      </c>
    </row>
    <row r="502">
      <c r="U502">
        <f>IF(listing_areas!C499&lt;&gt;"",listing_areas!C499,NA())</f>
        <v/>
      </c>
      <c r="V502">
        <f>IF(listing_areas!C499&lt;&gt;"",listing_areas!D499,NA())</f>
        <v/>
      </c>
    </row>
    <row r="503">
      <c r="U503">
        <f>IF(listing_areas!C500&lt;&gt;"",listing_areas!C500,NA())</f>
        <v/>
      </c>
      <c r="V503">
        <f>IF(listing_areas!C500&lt;&gt;"",listing_areas!D500,NA())</f>
        <v/>
      </c>
    </row>
    <row r="504">
      <c r="U504">
        <f>IF(listing_areas!C501&lt;&gt;"",listing_areas!C501,NA())</f>
        <v/>
      </c>
      <c r="V504">
        <f>IF(listing_areas!C501&lt;&gt;"",listing_areas!D501,NA())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9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Inputs: the checks rtminput made on the input workbook</t>
        </is>
      </c>
    </row>
    <row r="2">
      <c r="A2" s="2" t="inlineStr">
        <is>
          <t>The Design settings as recorded and every problem found, sheet by sheet; nothing is recalculated here (see Notes).</t>
        </is>
      </c>
    </row>
    <row r="4">
      <c r="A4" s="3" t="inlineStr">
        <is>
          <t>Run</t>
        </is>
      </c>
    </row>
    <row r="5">
      <c r="A5" t="inlineStr">
        <is>
          <t>Run id</t>
        </is>
      </c>
      <c r="B5" s="4">
        <f>IFERROR(INDEX(manifest!$B:$B,MATCH("run_id",manifest!$A:$A,0)),"not in this export")</f>
        <v/>
      </c>
    </row>
    <row r="6">
      <c r="A6" t="inlineStr">
        <is>
          <t>Step</t>
        </is>
      </c>
      <c r="B6" s="4">
        <f>IFERROR(INDEX(manifest!$B:$B,MATCH("step",manifest!$A:$A,0)),"not in this export")</f>
        <v/>
      </c>
    </row>
    <row r="7">
      <c r="A7" t="inlineStr">
        <is>
          <t>Started</t>
        </is>
      </c>
      <c r="B7" s="4">
        <f>IFERROR(INDEX(manifest!$B:$B,MATCH("started",manifest!$A:$A,0)),"not in this export")</f>
        <v/>
      </c>
    </row>
    <row r="8">
      <c r="A8" t="inlineStr">
        <is>
          <t>Status</t>
        </is>
      </c>
      <c r="B8" s="4">
        <f>IFERROR(INDEX(manifest!$B:$B,MATCH("status",manifest!$A:$A,0)),"not in this export")</f>
        <v/>
      </c>
    </row>
    <row r="9">
      <c r="A9" t="inlineStr">
        <is>
          <t>Source (ado or do-file)</t>
        </is>
      </c>
      <c r="B9" s="4">
        <f>IFERROR(INDEX(manifest!$B:$B,MATCH("source",manifest!$A:$A,0)),"not in this export")</f>
        <v/>
      </c>
    </row>
    <row r="10">
      <c r="A10" t="inlineStr">
        <is>
          <t>Input file</t>
        </is>
      </c>
      <c r="B10" s="4">
        <f>IFERROR(INDEX(manifest!$B:$B,MATCH("input_file",manifest!$A:$A,0)),"not in this export")</f>
        <v/>
      </c>
    </row>
    <row r="11">
      <c r="A11" t="inlineStr">
        <is>
          <t>Input rows</t>
        </is>
      </c>
      <c r="B11" s="4">
        <f>IFERROR(INDEX(manifest!$B:$B,MATCH("input_rows",manifest!$A:$A,0)),"not in this export")</f>
        <v/>
      </c>
    </row>
    <row r="12">
      <c r="A12" t="inlineStr">
        <is>
          <t>Command</t>
        </is>
      </c>
      <c r="B12" s="4">
        <f>IFERROR(INDEX(manifest!$B:$B,MATCH("command",manifest!$A:$A,0)),"not in this export")</f>
        <v/>
      </c>
    </row>
    <row r="14">
      <c r="A14" s="3" t="inlineStr">
        <is>
          <t>Design settings (as recorded by Stata from the Design sheet)</t>
        </is>
      </c>
    </row>
    <row r="15">
      <c r="A15" t="inlineStr">
        <is>
          <t>Project</t>
        </is>
      </c>
      <c r="B15" s="4">
        <f>IFERROR(INDEX(manifest!$B:$B,MATCH("setting_project",manifest!$A:$A,0)),"not in this export")</f>
        <v/>
      </c>
    </row>
    <row r="16">
      <c r="A16" t="inlineStr">
        <is>
          <t>Seed</t>
        </is>
      </c>
      <c r="B16" s="4">
        <f>IFERROR(INDEX(manifest!$B:$B,MATCH("setting_seed",manifest!$A:$A,0)),"not in this export")</f>
        <v/>
      </c>
    </row>
    <row r="17">
      <c r="A17" t="inlineStr">
        <is>
          <t>Output folder</t>
        </is>
      </c>
      <c r="B17" s="4">
        <f>IFERROR(INDEX(manifest!$B:$B,MATCH("setting_output_dir",manifest!$A:$A,0)),"not in this export")</f>
        <v/>
      </c>
    </row>
    <row r="18">
      <c r="A18" t="inlineStr">
        <is>
          <t>Size target</t>
        </is>
      </c>
      <c r="B18" s="4">
        <f>IFERROR(INDEX(manifest!$B:$B,MATCH("setting_target",manifest!$A:$A,0)),"not in this export")</f>
        <v/>
      </c>
    </row>
    <row r="19">
      <c r="A19" t="inlineStr">
        <is>
          <t>Areas to select</t>
        </is>
      </c>
      <c r="B19" s="4">
        <f>IFERROR(INDEX(manifest!$B:$B,MATCH("setting_n_areas",manifest!$A:$A,0)),"not in this export")</f>
        <v/>
      </c>
    </row>
    <row r="20">
      <c r="A20" t="inlineStr">
        <is>
          <t>Allocation</t>
        </is>
      </c>
      <c r="B20" s="4">
        <f>IFERROR(INDEX(manifest!$B:$B,MATCH("setting_allocation",manifest!$A:$A,0)),"not in this export")</f>
        <v/>
      </c>
    </row>
    <row r="21">
      <c r="A21" t="inlineStr">
        <is>
          <t>First stage</t>
        </is>
      </c>
      <c r="B21" s="4">
        <f>IFERROR(INDEX(manifest!$B:$B,MATCH("setting_stage1",manifest!$A:$A,0)),"not in this export")</f>
        <v/>
      </c>
    </row>
    <row r="22">
      <c r="A22" t="inlineStr">
        <is>
          <t>Reserve areas</t>
        </is>
      </c>
      <c r="B22" s="4">
        <f>IFERROR(INDEX(manifest!$B:$B,MATCH("setting_reserve_areas",manifest!$A:$A,0)),"not in this export")</f>
        <v/>
      </c>
    </row>
    <row r="23">
      <c r="A23" t="inlineStr">
        <is>
          <t>Households per area</t>
        </is>
      </c>
      <c r="B23" s="4">
        <f>IFERROR(INDEX(manifest!$B:$B,MATCH("setting_households_per_area",manifest!$A:$A,0)),"not in this export")</f>
        <v/>
      </c>
    </row>
    <row r="24">
      <c r="A24" t="inlineStr">
        <is>
          <t>Phone per PSU</t>
        </is>
      </c>
      <c r="B24" s="4">
        <f>IFERROR(INDEX(manifest!$B:$B,MATCH("setting_phone_per_psu",manifest!$A:$A,0)),"not in this export")</f>
        <v/>
      </c>
    </row>
    <row r="25">
      <c r="A25" t="inlineStr">
        <is>
          <t>Base weight</t>
        </is>
      </c>
      <c r="B25" s="4">
        <f>IFERROR(INDEX(manifest!$B:$B,MATCH("setting_base_weight",manifest!$A:$A,0)),"not in this export")</f>
        <v/>
      </c>
    </row>
    <row r="26">
      <c r="A26" t="inlineStr">
        <is>
          <t>Nonresponse method</t>
        </is>
      </c>
      <c r="B26" s="4">
        <f>IFERROR(INDEX(manifest!$B:$B,MATCH("setting_nonresponse",manifest!$A:$A,0)),"not in this export")</f>
        <v/>
      </c>
    </row>
    <row r="27">
      <c r="A27" t="inlineStr">
        <is>
          <t>Covariates</t>
        </is>
      </c>
      <c r="B27" s="4">
        <f>IFERROR(INDEX(manifest!$B:$B,MATCH("setting_covariates",manifest!$A:$A,0)),"not in this export")</f>
        <v/>
      </c>
    </row>
    <row r="28">
      <c r="A28" t="inlineStr">
        <is>
          <t>Trimming</t>
        </is>
      </c>
      <c r="B28" s="4">
        <f>IFERROR(INDEX(manifest!$B:$B,MATCH("setting_trim",manifest!$A:$A,0)),"not in this export")</f>
        <v/>
      </c>
    </row>
    <row r="29">
      <c r="A29" t="inlineStr">
        <is>
          <t>Calibration</t>
        </is>
      </c>
      <c r="B29" s="4">
        <f>IFERROR(INDEX(manifest!$B:$B,MATCH("setting_calibrate",manifest!$A:$A,0)),"not in this export")</f>
        <v/>
      </c>
    </row>
    <row r="30">
      <c r="A30" t="inlineStr">
        <is>
          <t>Calibration variables</t>
        </is>
      </c>
      <c r="B30" s="4">
        <f>IFERROR(INDEX(manifest!$B:$B,MATCH("setting_cal_vars",manifest!$A:$A,0)),"not in this export")</f>
        <v/>
      </c>
    </row>
    <row r="32">
      <c r="A32" s="3" t="inlineStr">
        <is>
          <t>Problems found (input_checks.csv; the Checks sheet of the checked copy holds the same rows)</t>
        </is>
      </c>
    </row>
    <row r="33">
      <c r="A33" s="6" t="inlineStr">
        <is>
          <t>sheet</t>
        </is>
      </c>
      <c r="B33" s="6" t="inlineStr">
        <is>
          <t>row</t>
        </is>
      </c>
      <c r="C33" s="6" t="inlineStr">
        <is>
          <t>column</t>
        </is>
      </c>
      <c r="D33" s="6" t="inlineStr">
        <is>
          <t>severity</t>
        </is>
      </c>
      <c r="E33" s="6" t="inlineStr">
        <is>
          <t>problem</t>
        </is>
      </c>
    </row>
    <row r="34">
      <c r="A34">
        <f>IF(input_checks!A2="","",input_checks!A2)</f>
        <v/>
      </c>
      <c r="B34">
        <f>IF(input_checks!B2="","",input_checks!B2)</f>
        <v/>
      </c>
      <c r="C34" s="13">
        <f>IF(input_checks!C2="","",input_checks!C2)</f>
        <v/>
      </c>
      <c r="D34">
        <f>IF(input_checks!D2="","",input_checks!D2)</f>
        <v/>
      </c>
      <c r="E34">
        <f>IF(input_checks!E2="","",input_checks!E2)</f>
        <v/>
      </c>
    </row>
    <row r="35">
      <c r="A35">
        <f>IF(input_checks!A3="","",input_checks!A3)</f>
        <v/>
      </c>
      <c r="B35">
        <f>IF(input_checks!B3="","",input_checks!B3)</f>
        <v/>
      </c>
      <c r="C35" s="13">
        <f>IF(input_checks!C3="","",input_checks!C3)</f>
        <v/>
      </c>
      <c r="D35">
        <f>IF(input_checks!D3="","",input_checks!D3)</f>
        <v/>
      </c>
      <c r="E35">
        <f>IF(input_checks!E3="","",input_checks!E3)</f>
        <v/>
      </c>
    </row>
    <row r="36">
      <c r="A36">
        <f>IF(input_checks!A4="","",input_checks!A4)</f>
        <v/>
      </c>
      <c r="B36">
        <f>IF(input_checks!B4="","",input_checks!B4)</f>
        <v/>
      </c>
      <c r="C36" s="13">
        <f>IF(input_checks!C4="","",input_checks!C4)</f>
        <v/>
      </c>
      <c r="D36">
        <f>IF(input_checks!D4="","",input_checks!D4)</f>
        <v/>
      </c>
      <c r="E36">
        <f>IF(input_checks!E4="","",input_checks!E4)</f>
        <v/>
      </c>
    </row>
    <row r="37">
      <c r="A37">
        <f>IF(input_checks!A5="","",input_checks!A5)</f>
        <v/>
      </c>
      <c r="B37">
        <f>IF(input_checks!B5="","",input_checks!B5)</f>
        <v/>
      </c>
      <c r="C37" s="13">
        <f>IF(input_checks!C5="","",input_checks!C5)</f>
        <v/>
      </c>
      <c r="D37">
        <f>IF(input_checks!D5="","",input_checks!D5)</f>
        <v/>
      </c>
      <c r="E37">
        <f>IF(input_checks!E5="","",input_checks!E5)</f>
        <v/>
      </c>
    </row>
    <row r="38">
      <c r="A38">
        <f>IF(input_checks!A6="","",input_checks!A6)</f>
        <v/>
      </c>
      <c r="B38">
        <f>IF(input_checks!B6="","",input_checks!B6)</f>
        <v/>
      </c>
      <c r="C38" s="13">
        <f>IF(input_checks!C6="","",input_checks!C6)</f>
        <v/>
      </c>
      <c r="D38">
        <f>IF(input_checks!D6="","",input_checks!D6)</f>
        <v/>
      </c>
      <c r="E38">
        <f>IF(input_checks!E6="","",input_checks!E6)</f>
        <v/>
      </c>
    </row>
    <row r="39">
      <c r="A39">
        <f>IF(input_checks!A7="","",input_checks!A7)</f>
        <v/>
      </c>
      <c r="B39">
        <f>IF(input_checks!B7="","",input_checks!B7)</f>
        <v/>
      </c>
      <c r="C39" s="13">
        <f>IF(input_checks!C7="","",input_checks!C7)</f>
        <v/>
      </c>
      <c r="D39">
        <f>IF(input_checks!D7="","",input_checks!D7)</f>
        <v/>
      </c>
      <c r="E39">
        <f>IF(input_checks!E7="","",input_checks!E7)</f>
        <v/>
      </c>
    </row>
    <row r="40">
      <c r="A40">
        <f>IF(input_checks!A8="","",input_checks!A8)</f>
        <v/>
      </c>
      <c r="B40">
        <f>IF(input_checks!B8="","",input_checks!B8)</f>
        <v/>
      </c>
      <c r="C40" s="13">
        <f>IF(input_checks!C8="","",input_checks!C8)</f>
        <v/>
      </c>
      <c r="D40">
        <f>IF(input_checks!D8="","",input_checks!D8)</f>
        <v/>
      </c>
      <c r="E40">
        <f>IF(input_checks!E8="","",input_checks!E8)</f>
        <v/>
      </c>
    </row>
    <row r="41">
      <c r="A41">
        <f>IF(input_checks!A9="","",input_checks!A9)</f>
        <v/>
      </c>
      <c r="B41">
        <f>IF(input_checks!B9="","",input_checks!B9)</f>
        <v/>
      </c>
      <c r="C41" s="13">
        <f>IF(input_checks!C9="","",input_checks!C9)</f>
        <v/>
      </c>
      <c r="D41">
        <f>IF(input_checks!D9="","",input_checks!D9)</f>
        <v/>
      </c>
      <c r="E41">
        <f>IF(input_checks!E9="","",input_checks!E9)</f>
        <v/>
      </c>
    </row>
    <row r="42">
      <c r="A42">
        <f>IF(input_checks!A10="","",input_checks!A10)</f>
        <v/>
      </c>
      <c r="B42">
        <f>IF(input_checks!B10="","",input_checks!B10)</f>
        <v/>
      </c>
      <c r="C42" s="13">
        <f>IF(input_checks!C10="","",input_checks!C10)</f>
        <v/>
      </c>
      <c r="D42">
        <f>IF(input_checks!D10="","",input_checks!D10)</f>
        <v/>
      </c>
      <c r="E42">
        <f>IF(input_checks!E10="","",input_checks!E10)</f>
        <v/>
      </c>
    </row>
    <row r="43">
      <c r="A43">
        <f>IF(input_checks!A11="","",input_checks!A11)</f>
        <v/>
      </c>
      <c r="B43">
        <f>IF(input_checks!B11="","",input_checks!B11)</f>
        <v/>
      </c>
      <c r="C43" s="13">
        <f>IF(input_checks!C11="","",input_checks!C11)</f>
        <v/>
      </c>
      <c r="D43">
        <f>IF(input_checks!D11="","",input_checks!D11)</f>
        <v/>
      </c>
      <c r="E43">
        <f>IF(input_checks!E11="","",input_checks!E11)</f>
        <v/>
      </c>
    </row>
    <row r="44">
      <c r="A44">
        <f>IF(input_checks!A12="","",input_checks!A12)</f>
        <v/>
      </c>
      <c r="B44">
        <f>IF(input_checks!B12="","",input_checks!B12)</f>
        <v/>
      </c>
      <c r="C44" s="13">
        <f>IF(input_checks!C12="","",input_checks!C12)</f>
        <v/>
      </c>
      <c r="D44">
        <f>IF(input_checks!D12="","",input_checks!D12)</f>
        <v/>
      </c>
      <c r="E44">
        <f>IF(input_checks!E12="","",input_checks!E12)</f>
        <v/>
      </c>
    </row>
    <row r="45">
      <c r="A45">
        <f>IF(input_checks!A13="","",input_checks!A13)</f>
        <v/>
      </c>
      <c r="B45">
        <f>IF(input_checks!B13="","",input_checks!B13)</f>
        <v/>
      </c>
      <c r="C45" s="13">
        <f>IF(input_checks!C13="","",input_checks!C13)</f>
        <v/>
      </c>
      <c r="D45">
        <f>IF(input_checks!D13="","",input_checks!D13)</f>
        <v/>
      </c>
      <c r="E45">
        <f>IF(input_checks!E13="","",input_checks!E13)</f>
        <v/>
      </c>
    </row>
    <row r="46">
      <c r="A46">
        <f>IF(input_checks!A14="","",input_checks!A14)</f>
        <v/>
      </c>
      <c r="B46">
        <f>IF(input_checks!B14="","",input_checks!B14)</f>
        <v/>
      </c>
      <c r="C46" s="13">
        <f>IF(input_checks!C14="","",input_checks!C14)</f>
        <v/>
      </c>
      <c r="D46">
        <f>IF(input_checks!D14="","",input_checks!D14)</f>
        <v/>
      </c>
      <c r="E46">
        <f>IF(input_checks!E14="","",input_checks!E14)</f>
        <v/>
      </c>
    </row>
    <row r="47">
      <c r="A47">
        <f>IF(input_checks!A15="","",input_checks!A15)</f>
        <v/>
      </c>
      <c r="B47">
        <f>IF(input_checks!B15="","",input_checks!B15)</f>
        <v/>
      </c>
      <c r="C47" s="13">
        <f>IF(input_checks!C15="","",input_checks!C15)</f>
        <v/>
      </c>
      <c r="D47">
        <f>IF(input_checks!D15="","",input_checks!D15)</f>
        <v/>
      </c>
      <c r="E47">
        <f>IF(input_checks!E15="","",input_checks!E15)</f>
        <v/>
      </c>
    </row>
    <row r="48">
      <c r="A48">
        <f>IF(input_checks!A16="","",input_checks!A16)</f>
        <v/>
      </c>
      <c r="B48">
        <f>IF(input_checks!B16="","",input_checks!B16)</f>
        <v/>
      </c>
      <c r="C48" s="13">
        <f>IF(input_checks!C16="","",input_checks!C16)</f>
        <v/>
      </c>
      <c r="D48">
        <f>IF(input_checks!D16="","",input_checks!D16)</f>
        <v/>
      </c>
      <c r="E48">
        <f>IF(input_checks!E16="","",input_checks!E16)</f>
        <v/>
      </c>
    </row>
    <row r="49">
      <c r="A49">
        <f>IF(input_checks!A17="","",input_checks!A17)</f>
        <v/>
      </c>
      <c r="B49">
        <f>IF(input_checks!B17="","",input_checks!B17)</f>
        <v/>
      </c>
      <c r="C49" s="13">
        <f>IF(input_checks!C17="","",input_checks!C17)</f>
        <v/>
      </c>
      <c r="D49">
        <f>IF(input_checks!D17="","",input_checks!D17)</f>
        <v/>
      </c>
      <c r="E49">
        <f>IF(input_checks!E17="","",input_checks!E17)</f>
        <v/>
      </c>
    </row>
    <row r="50">
      <c r="A50">
        <f>IF(input_checks!A18="","",input_checks!A18)</f>
        <v/>
      </c>
      <c r="B50">
        <f>IF(input_checks!B18="","",input_checks!B18)</f>
        <v/>
      </c>
      <c r="C50" s="13">
        <f>IF(input_checks!C18="","",input_checks!C18)</f>
        <v/>
      </c>
      <c r="D50">
        <f>IF(input_checks!D18="","",input_checks!D18)</f>
        <v/>
      </c>
      <c r="E50">
        <f>IF(input_checks!E18="","",input_checks!E18)</f>
        <v/>
      </c>
    </row>
    <row r="51">
      <c r="A51">
        <f>IF(input_checks!A19="","",input_checks!A19)</f>
        <v/>
      </c>
      <c r="B51">
        <f>IF(input_checks!B19="","",input_checks!B19)</f>
        <v/>
      </c>
      <c r="C51" s="13">
        <f>IF(input_checks!C19="","",input_checks!C19)</f>
        <v/>
      </c>
      <c r="D51">
        <f>IF(input_checks!D19="","",input_checks!D19)</f>
        <v/>
      </c>
      <c r="E51">
        <f>IF(input_checks!E19="","",input_checks!E19)</f>
        <v/>
      </c>
    </row>
    <row r="52">
      <c r="A52">
        <f>IF(input_checks!A20="","",input_checks!A20)</f>
        <v/>
      </c>
      <c r="B52">
        <f>IF(input_checks!B20="","",input_checks!B20)</f>
        <v/>
      </c>
      <c r="C52" s="13">
        <f>IF(input_checks!C20="","",input_checks!C20)</f>
        <v/>
      </c>
      <c r="D52">
        <f>IF(input_checks!D20="","",input_checks!D20)</f>
        <v/>
      </c>
      <c r="E52">
        <f>IF(input_checks!E20="","",input_checks!E20)</f>
        <v/>
      </c>
    </row>
    <row r="53">
      <c r="A53">
        <f>IF(input_checks!A21="","",input_checks!A21)</f>
        <v/>
      </c>
      <c r="B53">
        <f>IF(input_checks!B21="","",input_checks!B21)</f>
        <v/>
      </c>
      <c r="C53" s="13">
        <f>IF(input_checks!C21="","",input_checks!C21)</f>
        <v/>
      </c>
      <c r="D53">
        <f>IF(input_checks!D21="","",input_checks!D21)</f>
        <v/>
      </c>
      <c r="E53">
        <f>IF(input_checks!E21="","",input_checks!E21)</f>
        <v/>
      </c>
    </row>
    <row r="54">
      <c r="A54">
        <f>IF(input_checks!A22="","",input_checks!A22)</f>
        <v/>
      </c>
      <c r="B54">
        <f>IF(input_checks!B22="","",input_checks!B22)</f>
        <v/>
      </c>
      <c r="C54" s="13">
        <f>IF(input_checks!C22="","",input_checks!C22)</f>
        <v/>
      </c>
      <c r="D54">
        <f>IF(input_checks!D22="","",input_checks!D22)</f>
        <v/>
      </c>
      <c r="E54">
        <f>IF(input_checks!E22="","",input_checks!E22)</f>
        <v/>
      </c>
    </row>
    <row r="55">
      <c r="A55">
        <f>IF(input_checks!A23="","",input_checks!A23)</f>
        <v/>
      </c>
      <c r="B55">
        <f>IF(input_checks!B23="","",input_checks!B23)</f>
        <v/>
      </c>
      <c r="C55" s="13">
        <f>IF(input_checks!C23="","",input_checks!C23)</f>
        <v/>
      </c>
      <c r="D55">
        <f>IF(input_checks!D23="","",input_checks!D23)</f>
        <v/>
      </c>
      <c r="E55">
        <f>IF(input_checks!E23="","",input_checks!E23)</f>
        <v/>
      </c>
    </row>
    <row r="56">
      <c r="A56">
        <f>IF(input_checks!A24="","",input_checks!A24)</f>
        <v/>
      </c>
      <c r="B56">
        <f>IF(input_checks!B24="","",input_checks!B24)</f>
        <v/>
      </c>
      <c r="C56" s="13">
        <f>IF(input_checks!C24="","",input_checks!C24)</f>
        <v/>
      </c>
      <c r="D56">
        <f>IF(input_checks!D24="","",input_checks!D24)</f>
        <v/>
      </c>
      <c r="E56">
        <f>IF(input_checks!E24="","",input_checks!E24)</f>
        <v/>
      </c>
    </row>
    <row r="57">
      <c r="A57">
        <f>IF(input_checks!A25="","",input_checks!A25)</f>
        <v/>
      </c>
      <c r="B57">
        <f>IF(input_checks!B25="","",input_checks!B25)</f>
        <v/>
      </c>
      <c r="C57" s="13">
        <f>IF(input_checks!C25="","",input_checks!C25)</f>
        <v/>
      </c>
      <c r="D57">
        <f>IF(input_checks!D25="","",input_checks!D25)</f>
        <v/>
      </c>
      <c r="E57">
        <f>IF(input_checks!E25="","",input_checks!E25)</f>
        <v/>
      </c>
    </row>
    <row r="58">
      <c r="A58">
        <f>IF(input_checks!A26="","",input_checks!A26)</f>
        <v/>
      </c>
      <c r="B58">
        <f>IF(input_checks!B26="","",input_checks!B26)</f>
        <v/>
      </c>
      <c r="C58" s="13">
        <f>IF(input_checks!C26="","",input_checks!C26)</f>
        <v/>
      </c>
      <c r="D58">
        <f>IF(input_checks!D26="","",input_checks!D26)</f>
        <v/>
      </c>
      <c r="E58">
        <f>IF(input_checks!E26="","",input_checks!E26)</f>
        <v/>
      </c>
    </row>
    <row r="59">
      <c r="A59">
        <f>IF(input_checks!A27="","",input_checks!A27)</f>
        <v/>
      </c>
      <c r="B59">
        <f>IF(input_checks!B27="","",input_checks!B27)</f>
        <v/>
      </c>
      <c r="C59" s="13">
        <f>IF(input_checks!C27="","",input_checks!C27)</f>
        <v/>
      </c>
      <c r="D59">
        <f>IF(input_checks!D27="","",input_checks!D27)</f>
        <v/>
      </c>
      <c r="E59">
        <f>IF(input_checks!E27="","",input_checks!E27)</f>
        <v/>
      </c>
    </row>
    <row r="60">
      <c r="A60">
        <f>IF(input_checks!A28="","",input_checks!A28)</f>
        <v/>
      </c>
      <c r="B60">
        <f>IF(input_checks!B28="","",input_checks!B28)</f>
        <v/>
      </c>
      <c r="C60" s="13">
        <f>IF(input_checks!C28="","",input_checks!C28)</f>
        <v/>
      </c>
      <c r="D60">
        <f>IF(input_checks!D28="","",input_checks!D28)</f>
        <v/>
      </c>
      <c r="E60">
        <f>IF(input_checks!E28="","",input_checks!E28)</f>
        <v/>
      </c>
    </row>
    <row r="61">
      <c r="A61">
        <f>IF(input_checks!A29="","",input_checks!A29)</f>
        <v/>
      </c>
      <c r="B61">
        <f>IF(input_checks!B29="","",input_checks!B29)</f>
        <v/>
      </c>
      <c r="C61" s="13">
        <f>IF(input_checks!C29="","",input_checks!C29)</f>
        <v/>
      </c>
      <c r="D61">
        <f>IF(input_checks!D29="","",input_checks!D29)</f>
        <v/>
      </c>
      <c r="E61">
        <f>IF(input_checks!E29="","",input_checks!E29)</f>
        <v/>
      </c>
    </row>
    <row r="62">
      <c r="A62">
        <f>IF(input_checks!A30="","",input_checks!A30)</f>
        <v/>
      </c>
      <c r="B62">
        <f>IF(input_checks!B30="","",input_checks!B30)</f>
        <v/>
      </c>
      <c r="C62" s="13">
        <f>IF(input_checks!C30="","",input_checks!C30)</f>
        <v/>
      </c>
      <c r="D62">
        <f>IF(input_checks!D30="","",input_checks!D30)</f>
        <v/>
      </c>
      <c r="E62">
        <f>IF(input_checks!E30="","",input_checks!E30)</f>
        <v/>
      </c>
    </row>
    <row r="63">
      <c r="A63">
        <f>IF(input_checks!A31="","",input_checks!A31)</f>
        <v/>
      </c>
      <c r="B63">
        <f>IF(input_checks!B31="","",input_checks!B31)</f>
        <v/>
      </c>
      <c r="C63" s="13">
        <f>IF(input_checks!C31="","",input_checks!C31)</f>
        <v/>
      </c>
      <c r="D63">
        <f>IF(input_checks!D31="","",input_checks!D31)</f>
        <v/>
      </c>
      <c r="E63">
        <f>IF(input_checks!E31="","",input_checks!E31)</f>
        <v/>
      </c>
    </row>
    <row r="64">
      <c r="A64">
        <f>IF(input_checks!A32="","",input_checks!A32)</f>
        <v/>
      </c>
      <c r="B64">
        <f>IF(input_checks!B32="","",input_checks!B32)</f>
        <v/>
      </c>
      <c r="C64" s="13">
        <f>IF(input_checks!C32="","",input_checks!C32)</f>
        <v/>
      </c>
      <c r="D64">
        <f>IF(input_checks!D32="","",input_checks!D32)</f>
        <v/>
      </c>
      <c r="E64">
        <f>IF(input_checks!E32="","",input_checks!E32)</f>
        <v/>
      </c>
    </row>
    <row r="65">
      <c r="A65">
        <f>IF(input_checks!A33="","",input_checks!A33)</f>
        <v/>
      </c>
      <c r="B65">
        <f>IF(input_checks!B33="","",input_checks!B33)</f>
        <v/>
      </c>
      <c r="C65" s="13">
        <f>IF(input_checks!C33="","",input_checks!C33)</f>
        <v/>
      </c>
      <c r="D65">
        <f>IF(input_checks!D33="","",input_checks!D33)</f>
        <v/>
      </c>
      <c r="E65">
        <f>IF(input_checks!E33="","",input_checks!E33)</f>
        <v/>
      </c>
    </row>
    <row r="66">
      <c r="A66">
        <f>IF(input_checks!A34="","",input_checks!A34)</f>
        <v/>
      </c>
      <c r="B66">
        <f>IF(input_checks!B34="","",input_checks!B34)</f>
        <v/>
      </c>
      <c r="C66" s="13">
        <f>IF(input_checks!C34="","",input_checks!C34)</f>
        <v/>
      </c>
      <c r="D66">
        <f>IF(input_checks!D34="","",input_checks!D34)</f>
        <v/>
      </c>
      <c r="E66">
        <f>IF(input_checks!E34="","",input_checks!E34)</f>
        <v/>
      </c>
    </row>
    <row r="67">
      <c r="A67">
        <f>IF(input_checks!A35="","",input_checks!A35)</f>
        <v/>
      </c>
      <c r="B67">
        <f>IF(input_checks!B35="","",input_checks!B35)</f>
        <v/>
      </c>
      <c r="C67" s="13">
        <f>IF(input_checks!C35="","",input_checks!C35)</f>
        <v/>
      </c>
      <c r="D67">
        <f>IF(input_checks!D35="","",input_checks!D35)</f>
        <v/>
      </c>
      <c r="E67">
        <f>IF(input_checks!E35="","",input_checks!E35)</f>
        <v/>
      </c>
    </row>
    <row r="68">
      <c r="A68">
        <f>IF(input_checks!A36="","",input_checks!A36)</f>
        <v/>
      </c>
      <c r="B68">
        <f>IF(input_checks!B36="","",input_checks!B36)</f>
        <v/>
      </c>
      <c r="C68" s="13">
        <f>IF(input_checks!C36="","",input_checks!C36)</f>
        <v/>
      </c>
      <c r="D68">
        <f>IF(input_checks!D36="","",input_checks!D36)</f>
        <v/>
      </c>
      <c r="E68">
        <f>IF(input_checks!E36="","",input_checks!E36)</f>
        <v/>
      </c>
    </row>
    <row r="69">
      <c r="A69">
        <f>IF(input_checks!A37="","",input_checks!A37)</f>
        <v/>
      </c>
      <c r="B69">
        <f>IF(input_checks!B37="","",input_checks!B37)</f>
        <v/>
      </c>
      <c r="C69" s="13">
        <f>IF(input_checks!C37="","",input_checks!C37)</f>
        <v/>
      </c>
      <c r="D69">
        <f>IF(input_checks!D37="","",input_checks!D37)</f>
        <v/>
      </c>
      <c r="E69">
        <f>IF(input_checks!E37="","",input_checks!E37)</f>
        <v/>
      </c>
    </row>
    <row r="70">
      <c r="A70">
        <f>IF(input_checks!A38="","",input_checks!A38)</f>
        <v/>
      </c>
      <c r="B70">
        <f>IF(input_checks!B38="","",input_checks!B38)</f>
        <v/>
      </c>
      <c r="C70" s="13">
        <f>IF(input_checks!C38="","",input_checks!C38)</f>
        <v/>
      </c>
      <c r="D70">
        <f>IF(input_checks!D38="","",input_checks!D38)</f>
        <v/>
      </c>
      <c r="E70">
        <f>IF(input_checks!E38="","",input_checks!E38)</f>
        <v/>
      </c>
    </row>
    <row r="71">
      <c r="A71">
        <f>IF(input_checks!A39="","",input_checks!A39)</f>
        <v/>
      </c>
      <c r="B71">
        <f>IF(input_checks!B39="","",input_checks!B39)</f>
        <v/>
      </c>
      <c r="C71" s="13">
        <f>IF(input_checks!C39="","",input_checks!C39)</f>
        <v/>
      </c>
      <c r="D71">
        <f>IF(input_checks!D39="","",input_checks!D39)</f>
        <v/>
      </c>
      <c r="E71">
        <f>IF(input_checks!E39="","",input_checks!E39)</f>
        <v/>
      </c>
    </row>
    <row r="72">
      <c r="A72">
        <f>IF(input_checks!A40="","",input_checks!A40)</f>
        <v/>
      </c>
      <c r="B72">
        <f>IF(input_checks!B40="","",input_checks!B40)</f>
        <v/>
      </c>
      <c r="C72" s="13">
        <f>IF(input_checks!C40="","",input_checks!C40)</f>
        <v/>
      </c>
      <c r="D72">
        <f>IF(input_checks!D40="","",input_checks!D40)</f>
        <v/>
      </c>
      <c r="E72">
        <f>IF(input_checks!E40="","",input_checks!E40)</f>
        <v/>
      </c>
    </row>
    <row r="73">
      <c r="A73">
        <f>IF(input_checks!A41="","",input_checks!A41)</f>
        <v/>
      </c>
      <c r="B73">
        <f>IF(input_checks!B41="","",input_checks!B41)</f>
        <v/>
      </c>
      <c r="C73" s="13">
        <f>IF(input_checks!C41="","",input_checks!C41)</f>
        <v/>
      </c>
      <c r="D73">
        <f>IF(input_checks!D41="","",input_checks!D41)</f>
        <v/>
      </c>
      <c r="E73">
        <f>IF(input_checks!E41="","",input_checks!E41)</f>
        <v/>
      </c>
    </row>
    <row r="74">
      <c r="A74">
        <f>IF(input_checks!A42="","",input_checks!A42)</f>
        <v/>
      </c>
      <c r="B74">
        <f>IF(input_checks!B42="","",input_checks!B42)</f>
        <v/>
      </c>
      <c r="C74" s="13">
        <f>IF(input_checks!C42="","",input_checks!C42)</f>
        <v/>
      </c>
      <c r="D74">
        <f>IF(input_checks!D42="","",input_checks!D42)</f>
        <v/>
      </c>
      <c r="E74">
        <f>IF(input_checks!E42="","",input_checks!E42)</f>
        <v/>
      </c>
    </row>
    <row r="75">
      <c r="A75">
        <f>IF(input_checks!A43="","",input_checks!A43)</f>
        <v/>
      </c>
      <c r="B75">
        <f>IF(input_checks!B43="","",input_checks!B43)</f>
        <v/>
      </c>
      <c r="C75" s="13">
        <f>IF(input_checks!C43="","",input_checks!C43)</f>
        <v/>
      </c>
      <c r="D75">
        <f>IF(input_checks!D43="","",input_checks!D43)</f>
        <v/>
      </c>
      <c r="E75">
        <f>IF(input_checks!E43="","",input_checks!E43)</f>
        <v/>
      </c>
    </row>
    <row r="76">
      <c r="A76">
        <f>IF(input_checks!A44="","",input_checks!A44)</f>
        <v/>
      </c>
      <c r="B76">
        <f>IF(input_checks!B44="","",input_checks!B44)</f>
        <v/>
      </c>
      <c r="C76" s="13">
        <f>IF(input_checks!C44="","",input_checks!C44)</f>
        <v/>
      </c>
      <c r="D76">
        <f>IF(input_checks!D44="","",input_checks!D44)</f>
        <v/>
      </c>
      <c r="E76">
        <f>IF(input_checks!E44="","",input_checks!E44)</f>
        <v/>
      </c>
    </row>
    <row r="77">
      <c r="A77">
        <f>IF(input_checks!A45="","",input_checks!A45)</f>
        <v/>
      </c>
      <c r="B77">
        <f>IF(input_checks!B45="","",input_checks!B45)</f>
        <v/>
      </c>
      <c r="C77" s="13">
        <f>IF(input_checks!C45="","",input_checks!C45)</f>
        <v/>
      </c>
      <c r="D77">
        <f>IF(input_checks!D45="","",input_checks!D45)</f>
        <v/>
      </c>
      <c r="E77">
        <f>IF(input_checks!E45="","",input_checks!E45)</f>
        <v/>
      </c>
    </row>
    <row r="78">
      <c r="A78">
        <f>IF(input_checks!A46="","",input_checks!A46)</f>
        <v/>
      </c>
      <c r="B78">
        <f>IF(input_checks!B46="","",input_checks!B46)</f>
        <v/>
      </c>
      <c r="C78" s="13">
        <f>IF(input_checks!C46="","",input_checks!C46)</f>
        <v/>
      </c>
      <c r="D78">
        <f>IF(input_checks!D46="","",input_checks!D46)</f>
        <v/>
      </c>
      <c r="E78">
        <f>IF(input_checks!E46="","",input_checks!E46)</f>
        <v/>
      </c>
    </row>
    <row r="79">
      <c r="A79">
        <f>IF(input_checks!A47="","",input_checks!A47)</f>
        <v/>
      </c>
      <c r="B79">
        <f>IF(input_checks!B47="","",input_checks!B47)</f>
        <v/>
      </c>
      <c r="C79" s="13">
        <f>IF(input_checks!C47="","",input_checks!C47)</f>
        <v/>
      </c>
      <c r="D79">
        <f>IF(input_checks!D47="","",input_checks!D47)</f>
        <v/>
      </c>
      <c r="E79">
        <f>IF(input_checks!E47="","",input_checks!E47)</f>
        <v/>
      </c>
    </row>
    <row r="80">
      <c r="A80">
        <f>IF(input_checks!A48="","",input_checks!A48)</f>
        <v/>
      </c>
      <c r="B80">
        <f>IF(input_checks!B48="","",input_checks!B48)</f>
        <v/>
      </c>
      <c r="C80" s="13">
        <f>IF(input_checks!C48="","",input_checks!C48)</f>
        <v/>
      </c>
      <c r="D80">
        <f>IF(input_checks!D48="","",input_checks!D48)</f>
        <v/>
      </c>
      <c r="E80">
        <f>IF(input_checks!E48="","",input_checks!E48)</f>
        <v/>
      </c>
    </row>
    <row r="81">
      <c r="A81">
        <f>IF(input_checks!A49="","",input_checks!A49)</f>
        <v/>
      </c>
      <c r="B81">
        <f>IF(input_checks!B49="","",input_checks!B49)</f>
        <v/>
      </c>
      <c r="C81" s="13">
        <f>IF(input_checks!C49="","",input_checks!C49)</f>
        <v/>
      </c>
      <c r="D81">
        <f>IF(input_checks!D49="","",input_checks!D49)</f>
        <v/>
      </c>
      <c r="E81">
        <f>IF(input_checks!E49="","",input_checks!E49)</f>
        <v/>
      </c>
    </row>
    <row r="82">
      <c r="A82">
        <f>IF(input_checks!A50="","",input_checks!A50)</f>
        <v/>
      </c>
      <c r="B82">
        <f>IF(input_checks!B50="","",input_checks!B50)</f>
        <v/>
      </c>
      <c r="C82" s="13">
        <f>IF(input_checks!C50="","",input_checks!C50)</f>
        <v/>
      </c>
      <c r="D82">
        <f>IF(input_checks!D50="","",input_checks!D50)</f>
        <v/>
      </c>
      <c r="E82">
        <f>IF(input_checks!E50="","",input_checks!E50)</f>
        <v/>
      </c>
    </row>
    <row r="83">
      <c r="A83">
        <f>IF(input_checks!A51="","",input_checks!A51)</f>
        <v/>
      </c>
      <c r="B83">
        <f>IF(input_checks!B51="","",input_checks!B51)</f>
        <v/>
      </c>
      <c r="C83" s="13">
        <f>IF(input_checks!C51="","",input_checks!C51)</f>
        <v/>
      </c>
      <c r="D83">
        <f>IF(input_checks!D51="","",input_checks!D51)</f>
        <v/>
      </c>
      <c r="E83">
        <f>IF(input_checks!E51="","",input_checks!E51)</f>
        <v/>
      </c>
    </row>
    <row r="84">
      <c r="A84">
        <f>IF(input_checks!A52="","",input_checks!A52)</f>
        <v/>
      </c>
      <c r="B84">
        <f>IF(input_checks!B52="","",input_checks!B52)</f>
        <v/>
      </c>
      <c r="C84" s="13">
        <f>IF(input_checks!C52="","",input_checks!C52)</f>
        <v/>
      </c>
      <c r="D84">
        <f>IF(input_checks!D52="","",input_checks!D52)</f>
        <v/>
      </c>
      <c r="E84">
        <f>IF(input_checks!E52="","",input_checks!E52)</f>
        <v/>
      </c>
    </row>
    <row r="85">
      <c r="A85">
        <f>IF(input_checks!A53="","",input_checks!A53)</f>
        <v/>
      </c>
      <c r="B85">
        <f>IF(input_checks!B53="","",input_checks!B53)</f>
        <v/>
      </c>
      <c r="C85" s="13">
        <f>IF(input_checks!C53="","",input_checks!C53)</f>
        <v/>
      </c>
      <c r="D85">
        <f>IF(input_checks!D53="","",input_checks!D53)</f>
        <v/>
      </c>
      <c r="E85">
        <f>IF(input_checks!E53="","",input_checks!E53)</f>
        <v/>
      </c>
    </row>
    <row r="86">
      <c r="A86">
        <f>IF(input_checks!A54="","",input_checks!A54)</f>
        <v/>
      </c>
      <c r="B86">
        <f>IF(input_checks!B54="","",input_checks!B54)</f>
        <v/>
      </c>
      <c r="C86" s="13">
        <f>IF(input_checks!C54="","",input_checks!C54)</f>
        <v/>
      </c>
      <c r="D86">
        <f>IF(input_checks!D54="","",input_checks!D54)</f>
        <v/>
      </c>
      <c r="E86">
        <f>IF(input_checks!E54="","",input_checks!E54)</f>
        <v/>
      </c>
    </row>
    <row r="87">
      <c r="A87">
        <f>IF(input_checks!A55="","",input_checks!A55)</f>
        <v/>
      </c>
      <c r="B87">
        <f>IF(input_checks!B55="","",input_checks!B55)</f>
        <v/>
      </c>
      <c r="C87" s="13">
        <f>IF(input_checks!C55="","",input_checks!C55)</f>
        <v/>
      </c>
      <c r="D87">
        <f>IF(input_checks!D55="","",input_checks!D55)</f>
        <v/>
      </c>
      <c r="E87">
        <f>IF(input_checks!E55="","",input_checks!E55)</f>
        <v/>
      </c>
    </row>
    <row r="88">
      <c r="A88">
        <f>IF(input_checks!A56="","",input_checks!A56)</f>
        <v/>
      </c>
      <c r="B88">
        <f>IF(input_checks!B56="","",input_checks!B56)</f>
        <v/>
      </c>
      <c r="C88" s="13">
        <f>IF(input_checks!C56="","",input_checks!C56)</f>
        <v/>
      </c>
      <c r="D88">
        <f>IF(input_checks!D56="","",input_checks!D56)</f>
        <v/>
      </c>
      <c r="E88">
        <f>IF(input_checks!E56="","",input_checks!E56)</f>
        <v/>
      </c>
    </row>
    <row r="89">
      <c r="A89">
        <f>IF(input_checks!A57="","",input_checks!A57)</f>
        <v/>
      </c>
      <c r="B89">
        <f>IF(input_checks!B57="","",input_checks!B57)</f>
        <v/>
      </c>
      <c r="C89" s="13">
        <f>IF(input_checks!C57="","",input_checks!C57)</f>
        <v/>
      </c>
      <c r="D89">
        <f>IF(input_checks!D57="","",input_checks!D57)</f>
        <v/>
      </c>
      <c r="E89">
        <f>IF(input_checks!E57="","",input_checks!E57)</f>
        <v/>
      </c>
    </row>
    <row r="90">
      <c r="A90">
        <f>IF(input_checks!A58="","",input_checks!A58)</f>
        <v/>
      </c>
      <c r="B90">
        <f>IF(input_checks!B58="","",input_checks!B58)</f>
        <v/>
      </c>
      <c r="C90" s="13">
        <f>IF(input_checks!C58="","",input_checks!C58)</f>
        <v/>
      </c>
      <c r="D90">
        <f>IF(input_checks!D58="","",input_checks!D58)</f>
        <v/>
      </c>
      <c r="E90">
        <f>IF(input_checks!E58="","",input_checks!E58)</f>
        <v/>
      </c>
    </row>
    <row r="91">
      <c r="A91">
        <f>IF(input_checks!A59="","",input_checks!A59)</f>
        <v/>
      </c>
      <c r="B91">
        <f>IF(input_checks!B59="","",input_checks!B59)</f>
        <v/>
      </c>
      <c r="C91" s="13">
        <f>IF(input_checks!C59="","",input_checks!C59)</f>
        <v/>
      </c>
      <c r="D91">
        <f>IF(input_checks!D59="","",input_checks!D59)</f>
        <v/>
      </c>
      <c r="E91">
        <f>IF(input_checks!E59="","",input_checks!E59)</f>
        <v/>
      </c>
    </row>
    <row r="92">
      <c r="A92">
        <f>IF(input_checks!A60="","",input_checks!A60)</f>
        <v/>
      </c>
      <c r="B92">
        <f>IF(input_checks!B60="","",input_checks!B60)</f>
        <v/>
      </c>
      <c r="C92" s="13">
        <f>IF(input_checks!C60="","",input_checks!C60)</f>
        <v/>
      </c>
      <c r="D92">
        <f>IF(input_checks!D60="","",input_checks!D60)</f>
        <v/>
      </c>
      <c r="E92">
        <f>IF(input_checks!E60="","",input_checks!E60)</f>
        <v/>
      </c>
    </row>
    <row r="93">
      <c r="A93">
        <f>IF(input_checks!A61="","",input_checks!A61)</f>
        <v/>
      </c>
      <c r="B93">
        <f>IF(input_checks!B61="","",input_checks!B61)</f>
        <v/>
      </c>
      <c r="C93" s="13">
        <f>IF(input_checks!C61="","",input_checks!C61)</f>
        <v/>
      </c>
      <c r="D93">
        <f>IF(input_checks!D61="","",input_checks!D61)</f>
        <v/>
      </c>
      <c r="E93">
        <f>IF(input_checks!E61="","",input_checks!E61)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rtmtools display workbook (schema rtm-export-1.0)</t>
        </is>
      </c>
    </row>
    <row r="2">
      <c r="A2" t="inlineStr">
        <is>
          <t>This workbook displays what the Stata commands exported for one run (sheets Weights, Sampling, Frame, Listing, Inputs; use the one of the run's</t>
        </is>
      </c>
    </row>
    <row r="3">
      <c r="A3" t="inlineStr">
        <is>
          <t>workflow). Stata copies this template into the run folder and fills the sheet</t>
        </is>
      </c>
    </row>
    <row r="4">
      <c r="A4" t="inlineStr">
        <is>
          <t>'manifest' and one sheet per export table (weight_stages, response_classes, calibration_fit, weight_groups, flags, ...) from the same</t>
        </is>
      </c>
    </row>
    <row r="5">
      <c r="A5" t="inlineStr">
        <is>
          <t>CSV files that the dashboard reads. Nothing in this workbook recalculates a statistic: every value on the Weights sheet is a reference</t>
        </is>
      </c>
    </row>
    <row r="6">
      <c r="A6" t="inlineStr">
        <is>
          <t>or a lookup into those sheets, and every chart plots a column of them.</t>
        </is>
      </c>
    </row>
    <row r="7">
      <c r="A7" t="inlineStr"/>
    </row>
    <row r="8">
      <c r="A8" s="3" t="inlineStr">
        <is>
          <t>Formulas used, the complete list: IF, IFERROR, INDEX, MATCH, COUNTIF, COUNTA, NA. IF only blanks out empty rows; IFERROR, INDEX and MATCH</t>
        </is>
      </c>
    </row>
    <row r="9">
      <c r="A9" t="inlineStr">
        <is>
          <t>fetch a value from the manifest; COUNTIF and COUNTA count exported rows; NA() keeps a point off a scatter chart (the map helper</t>
        </is>
      </c>
    </row>
    <row r="10">
      <c r="A10" t="inlineStr">
        <is>
          <t>columns U to X of the Sampling, Frame and Listing sheets). No division, multiplication, power, RAND, PERCENTILE, STDEV, Solver or</t>
        </is>
      </c>
    </row>
    <row r="11">
      <c r="A11" t="inlineStr">
        <is>
          <t>Analysis ToolPak anywhere. tests/check_display.py reads every formula and fails on any other function.</t>
        </is>
      </c>
    </row>
    <row r="12">
      <c r="A12" t="inlineStr"/>
    </row>
    <row r="13">
      <c r="A13" t="inlineStr">
        <is>
          <t>Rounding: values are stored exactly as exported; number formats show three decimals (counts as integers).</t>
        </is>
      </c>
    </row>
    <row r="14">
      <c r="A14" t="inlineStr">
        <is>
          <t>'not in this export' means the step did not produce that value or table.</t>
        </is>
      </c>
    </row>
    <row r="15">
      <c r="A15" t="inlineStr"/>
    </row>
    <row r="16">
      <c r="A16" t="inlineStr">
        <is>
          <t>Source of every table and chart: the CSV file named in its heading, in the run folder next to this workbook.</t>
        </is>
      </c>
    </row>
    <row r="17">
      <c r="A17" t="inlineStr">
        <is>
          <t>To look at another run without Stata: Data &gt; Get Data &gt; From Text/CSV (Power Query) can load that run's CSV files into the</t>
        </is>
      </c>
    </row>
    <row r="18">
      <c r="A18" t="inlineStr">
        <is>
          <t>sheets of the same name, or paste the CSV contents into them; the Weights sheet then shows them. Nothing leaves this computer.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unit_id</t>
        </is>
      </c>
      <c r="B1" s="3" t="inlineStr">
        <is>
          <t>stratum</t>
        </is>
      </c>
      <c r="C1" s="3" t="inlineStr">
        <is>
          <t>unit</t>
        </is>
      </c>
      <c r="D1" s="3" t="inlineStr">
        <is>
          <t>size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flag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stratum</t>
        </is>
      </c>
      <c r="B1" s="3" t="inlineStr">
        <is>
          <t>n_units</t>
        </is>
      </c>
      <c r="C1" s="3" t="inlineStr">
        <is>
          <t>size_sum</t>
        </is>
      </c>
      <c r="D1" s="3" t="inlineStr">
        <is>
          <t>size_min</t>
        </is>
      </c>
      <c r="E1" s="3" t="inlineStr">
        <is>
          <t>size_p50</t>
        </is>
      </c>
      <c r="F1" s="3" t="inlineStr">
        <is>
          <t>size_max</t>
        </is>
      </c>
      <c r="G1" s="3" t="inlineStr">
        <is>
          <t>n_flagged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polygon_id</t>
        </is>
      </c>
      <c r="B1" s="3" t="inlineStr">
        <is>
          <t>part</t>
        </is>
      </c>
      <c r="C1" s="3" t="inlineStr">
        <is>
          <t>vertex</t>
        </is>
      </c>
      <c r="D1" s="3" t="inlineStr">
        <is>
          <t>x</t>
        </is>
      </c>
      <c r="E1" s="3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area_id</t>
        </is>
      </c>
      <c r="B1" s="3" t="inlineStr">
        <is>
          <t>stratum</t>
        </is>
      </c>
      <c r="C1" s="3" t="inlineStr">
        <is>
          <t>expected</t>
        </is>
      </c>
      <c r="D1" s="3" t="inlineStr">
        <is>
          <t>listed</t>
        </is>
      </c>
      <c r="E1" s="3" t="inlineStr">
        <is>
          <t>eligible</t>
        </is>
      </c>
      <c r="F1" s="3" t="inlineStr">
        <is>
          <t>ratio</t>
        </is>
      </c>
      <c r="G1" s="3" t="inlineStr">
        <is>
          <t>segments</t>
        </is>
      </c>
      <c r="H1" s="3" t="inlineStr">
        <is>
          <t>segment_selected</t>
        </is>
      </c>
      <c r="I1" s="3" t="inlineStr">
        <is>
          <t>flag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check</t>
        </is>
      </c>
      <c r="B1" s="3" t="inlineStr">
        <is>
          <t>n</t>
        </is>
      </c>
      <c r="C1" s="3" t="inlineStr">
        <is>
          <t>status</t>
        </is>
      </c>
      <c r="D1" s="3" t="inlineStr">
        <is>
          <t>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domain</t>
        </is>
      </c>
      <c r="B1" s="3" t="inlineStr">
        <is>
          <t>p</t>
        </is>
      </c>
      <c r="C1" s="3" t="inlineStr">
        <is>
          <t>margin</t>
        </is>
      </c>
      <c r="D1" s="3" t="inlineStr">
        <is>
          <t>deff</t>
        </is>
      </c>
      <c r="E1" s="3" t="inlineStr">
        <is>
          <t>nonresponse</t>
        </is>
      </c>
      <c r="F1" s="3" t="inlineStr">
        <is>
          <t>attrition</t>
        </is>
      </c>
      <c r="G1" s="3" t="inlineStr">
        <is>
          <t>rounds</t>
        </is>
      </c>
      <c r="H1" s="3" t="inlineStr">
        <is>
          <t>n_effective</t>
        </is>
      </c>
      <c r="I1" s="3" t="inlineStr">
        <is>
          <t>n_final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stratum</t>
        </is>
      </c>
      <c r="B1" s="3" t="inlineStr">
        <is>
          <t>n_units</t>
        </is>
      </c>
      <c r="C1" s="3" t="inlineStr">
        <is>
          <t>size_sum</t>
        </is>
      </c>
      <c r="D1" s="3" t="inlineStr">
        <is>
          <t>share</t>
        </is>
      </c>
      <c r="E1" s="3" t="inlineStr">
        <is>
          <t>n_planned</t>
        </is>
      </c>
      <c r="F1" s="3" t="inlineStr">
        <is>
          <t>n_min</t>
        </is>
      </c>
      <c r="G1" s="3" t="inlineStr">
        <is>
          <t>n_max</t>
        </is>
      </c>
      <c r="H1" s="3" t="inlineStr">
        <is>
          <t>n_final</t>
        </is>
      </c>
      <c r="I1" s="3" t="inlineStr">
        <is>
          <t>sampling_fraction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unit_id</t>
        </is>
      </c>
      <c r="B1" s="3" t="inlineStr">
        <is>
          <t>stratum</t>
        </is>
      </c>
      <c r="C1" s="3" t="inlineStr">
        <is>
          <t>size</t>
        </is>
      </c>
      <c r="D1" s="3" t="inlineStr">
        <is>
          <t>order</t>
        </is>
      </c>
      <c r="E1" s="3" t="inlineStr">
        <is>
          <t>key</t>
        </is>
      </c>
      <c r="F1" s="3" t="inlineStr">
        <is>
          <t>cum_size</t>
        </is>
      </c>
      <c r="G1" s="3" t="inlineStr">
        <is>
          <t>selection_number</t>
        </is>
      </c>
      <c r="H1" s="3" t="inlineStr">
        <is>
          <t>selected</t>
        </is>
      </c>
      <c r="I1" s="3" t="inlineStr">
        <is>
          <t>reserve</t>
        </is>
      </c>
      <c r="J1" s="3" t="inlineStr">
        <is>
          <t>rank</t>
        </is>
      </c>
      <c r="K1" s="3" t="inlineStr">
        <is>
          <t>prob</t>
        </is>
      </c>
      <c r="L1" s="3" t="inlineStr">
        <is>
          <t>weight</t>
        </is>
      </c>
      <c r="M1" s="3" t="inlineStr">
        <is>
          <t>x</t>
        </is>
      </c>
      <c r="N1" s="3" t="inlineStr">
        <is>
          <t>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stratum</t>
        </is>
      </c>
      <c r="B1" s="3" t="inlineStr">
        <is>
          <t>n_units</t>
        </is>
      </c>
      <c r="C1" s="3" t="inlineStr">
        <is>
          <t>n_selected</t>
        </is>
      </c>
      <c r="D1" s="3" t="inlineStr">
        <is>
          <t>n_reserve</t>
        </is>
      </c>
      <c r="E1" s="3" t="inlineStr">
        <is>
          <t>prob_min</t>
        </is>
      </c>
      <c r="F1" s="3" t="inlineStr">
        <is>
          <t>prob_max</t>
        </is>
      </c>
      <c r="G1" s="3" t="inlineStr">
        <is>
          <t>interval</t>
        </is>
      </c>
      <c r="H1" s="3" t="inlineStr">
        <is>
          <t>random_start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stage</t>
        </is>
      </c>
      <c r="B1" s="3" t="inlineStr">
        <is>
          <t>variable</t>
        </is>
      </c>
      <c r="C1" s="3" t="inlineStr">
        <is>
          <t>n</t>
        </is>
      </c>
      <c r="D1" s="3" t="inlineStr">
        <is>
          <t>sum</t>
        </is>
      </c>
      <c r="E1" s="3" t="inlineStr">
        <is>
          <t>min</t>
        </is>
      </c>
      <c r="F1" s="3" t="inlineStr">
        <is>
          <t>p1</t>
        </is>
      </c>
      <c r="G1" s="3" t="inlineStr">
        <is>
          <t>p5</t>
        </is>
      </c>
      <c r="H1" s="3" t="inlineStr">
        <is>
          <t>p25</t>
        </is>
      </c>
      <c r="I1" s="3" t="inlineStr">
        <is>
          <t>p50</t>
        </is>
      </c>
      <c r="J1" s="3" t="inlineStr">
        <is>
          <t>p75</t>
        </is>
      </c>
      <c r="K1" s="3" t="inlineStr">
        <is>
          <t>p95</t>
        </is>
      </c>
      <c r="L1" s="3" t="inlineStr">
        <is>
          <t>p99</t>
        </is>
      </c>
      <c r="M1" s="3" t="inlineStr">
        <is>
          <t>max</t>
        </is>
      </c>
      <c r="N1" s="3" t="inlineStr">
        <is>
          <t>mean</t>
        </is>
      </c>
      <c r="O1" s="3" t="inlineStr">
        <is>
          <t>cv</t>
        </is>
      </c>
      <c r="P1" s="3" t="inlineStr">
        <is>
          <t>kish_deff</t>
        </is>
      </c>
      <c r="Q1" s="3" t="inlineStr">
        <is>
          <t>n_trimmed</t>
        </is>
      </c>
      <c r="R1" s="3" t="inlineStr">
        <is>
          <t>n_zero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stage</t>
        </is>
      </c>
      <c r="B1" s="3" t="inlineStr">
        <is>
          <t>variable</t>
        </is>
      </c>
      <c r="C1" s="3" t="inlineStr">
        <is>
          <t>group_var</t>
        </is>
      </c>
      <c r="D1" s="3" t="inlineStr">
        <is>
          <t>group</t>
        </is>
      </c>
      <c r="E1" s="3" t="inlineStr">
        <is>
          <t>n</t>
        </is>
      </c>
      <c r="F1" s="3" t="inlineStr">
        <is>
          <t>sum</t>
        </is>
      </c>
      <c r="G1" s="3" t="inlineStr">
        <is>
          <t>mean</t>
        </is>
      </c>
      <c r="H1" s="3" t="inlineStr">
        <is>
          <t>cv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class_var</t>
        </is>
      </c>
      <c r="B1" s="3" t="inlineStr">
        <is>
          <t>class</t>
        </is>
      </c>
      <c r="C1" s="3" t="inlineStr">
        <is>
          <t>n_sample</t>
        </is>
      </c>
      <c r="D1" s="3" t="inlineStr">
        <is>
          <t>n_respondents</t>
        </is>
      </c>
      <c r="E1" s="3" t="inlineStr">
        <is>
          <t>response_rate</t>
        </is>
      </c>
      <c r="F1" s="3" t="inlineStr">
        <is>
          <t>factor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constraint</t>
        </is>
      </c>
      <c r="B1" s="3" t="inlineStr">
        <is>
          <t>target</t>
        </is>
      </c>
      <c r="C1" s="3" t="inlineStr">
        <is>
          <t>before</t>
        </is>
      </c>
      <c r="D1" s="3" t="inlineStr">
        <is>
          <t>after</t>
        </is>
      </c>
      <c r="E1" s="3" t="inlineStr">
        <is>
          <t>diff</t>
        </is>
      </c>
      <c r="F1" s="3" t="inlineStr">
        <is>
          <t>rel_diff</t>
        </is>
      </c>
      <c r="G1" s="3" t="inlineStr">
        <is>
          <t>converged</t>
        </is>
      </c>
      <c r="H1" s="3" t="inlineStr">
        <is>
          <t>iterations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unit_id</t>
        </is>
      </c>
      <c r="B1" s="3" t="inlineStr">
        <is>
          <t>stratum</t>
        </is>
      </c>
      <c r="C1" s="3" t="inlineStr">
        <is>
          <t>psu</t>
        </is>
      </c>
      <c r="D1" s="3" t="inlineStr">
        <is>
          <t>flag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table</t>
        </is>
      </c>
      <c r="B1" s="3" t="inlineStr">
        <is>
          <t>unit_id</t>
        </is>
      </c>
      <c r="C1" s="3" t="inlineStr">
        <is>
          <t>stage</t>
        </is>
      </c>
      <c r="D1" s="3" t="inlineStr">
        <is>
          <t>value</t>
        </is>
      </c>
      <c r="E1" s="3" t="inlineStr">
        <is>
          <t>reason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unit_id</t>
        </is>
      </c>
      <c r="B1" s="3" t="inlineStr">
        <is>
          <t>candidate_id</t>
        </is>
      </c>
      <c r="C1" s="3" t="inlineStr">
        <is>
          <t>rank</t>
        </is>
      </c>
      <c r="D1" s="3" t="inlineStr">
        <is>
          <t>distance</t>
        </is>
      </c>
      <c r="E1" s="3" t="inlineStr">
        <is>
          <t>stratum</t>
        </is>
      </c>
      <c r="F1" s="3" t="inlineStr">
        <is>
          <t>adjacency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sheet</t>
        </is>
      </c>
      <c r="B1" s="3" t="inlineStr">
        <is>
          <t>row</t>
        </is>
      </c>
      <c r="C1" s="3" t="inlineStr">
        <is>
          <t>column</t>
        </is>
      </c>
      <c r="D1" s="3" t="inlineStr">
        <is>
          <t>severity</t>
        </is>
      </c>
      <c r="E1" s="3" t="inlineStr">
        <is>
          <t>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2026-10-25T08:28:57Z</dcterms:created>
  <dcterms:modified xmlns:dcterms="http://purl.org/dc/terms/" xmlns:xsi="http://www.w3.org/2001/XMLSchema-instance" xsi:type="dcterms:W3CDTF">2026-10-25T08:28:57Z</dcterms:modified>
</cp:coreProperties>
</file>